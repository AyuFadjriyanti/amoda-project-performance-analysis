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se Study 1" sheetId="1" r:id="rId5"/>
  </sheets>
  <definedNames/>
  <calcPr/>
</workbook>
</file>

<file path=xl/sharedStrings.xml><?xml version="1.0" encoding="utf-8"?>
<sst xmlns="http://schemas.openxmlformats.org/spreadsheetml/2006/main" count="314" uniqueCount="218">
  <si>
    <t>project_id</t>
  </si>
  <si>
    <t>project_name</t>
  </si>
  <si>
    <t>start_date</t>
  </si>
  <si>
    <t>end_date</t>
  </si>
  <si>
    <t>project_value</t>
  </si>
  <si>
    <t>actual_costs</t>
  </si>
  <si>
    <t>resource_utilization_hours</t>
  </si>
  <si>
    <t>project_category</t>
  </si>
  <si>
    <t>duration_days</t>
  </si>
  <si>
    <t>budget_variance</t>
  </si>
  <si>
    <t>cost_performance</t>
  </si>
  <si>
    <t>is_over_budget</t>
  </si>
  <si>
    <t>completion_month</t>
  </si>
  <si>
    <t>hours_per_val</t>
  </si>
  <si>
    <t>P0001</t>
  </si>
  <si>
    <t>A Arcu Sed Foundation</t>
  </si>
  <si>
    <t>Modular Construction</t>
  </si>
  <si>
    <t>P0002</t>
  </si>
  <si>
    <t>A Sollicitudin Corporation</t>
  </si>
  <si>
    <t>Ergahuts</t>
  </si>
  <si>
    <t>P0003</t>
  </si>
  <si>
    <t>Accumsan Convallis PC</t>
  </si>
  <si>
    <t>P0004</t>
  </si>
  <si>
    <t>Ante LLP</t>
  </si>
  <si>
    <t>Ergapods</t>
  </si>
  <si>
    <t>P0005</t>
  </si>
  <si>
    <t>Arcu Vel LLC</t>
  </si>
  <si>
    <t>P0006</t>
  </si>
  <si>
    <t>Arcu Vestibulum Corp.</t>
  </si>
  <si>
    <t>P0007</t>
  </si>
  <si>
    <t>At Limited</t>
  </si>
  <si>
    <t>Conventional Construction</t>
  </si>
  <si>
    <t>P0008</t>
  </si>
  <si>
    <t>Augue LLC</t>
  </si>
  <si>
    <t>P0009</t>
  </si>
  <si>
    <t>Blandit Nam Nulla Institute</t>
  </si>
  <si>
    <t>P0010</t>
  </si>
  <si>
    <t>Commodo Auctor LLC</t>
  </si>
  <si>
    <t>P0011</t>
  </si>
  <si>
    <t>Cras Dictum LLC</t>
  </si>
  <si>
    <t>P0012</t>
  </si>
  <si>
    <t>Cras Eu Inc.</t>
  </si>
  <si>
    <t>P0013</t>
  </si>
  <si>
    <t>Curabitur Vel LLC</t>
  </si>
  <si>
    <t>P0014</t>
  </si>
  <si>
    <t>Cursus Et Limited</t>
  </si>
  <si>
    <t>P0015</t>
  </si>
  <si>
    <t>Cursus Integer Mollis Corporation</t>
  </si>
  <si>
    <t>P0016</t>
  </si>
  <si>
    <t>Dapibus Quam Ltd</t>
  </si>
  <si>
    <t>P0017</t>
  </si>
  <si>
    <t>Diam Pellentesque Corp.</t>
  </si>
  <si>
    <t>P0018</t>
  </si>
  <si>
    <t>Dictum Limited</t>
  </si>
  <si>
    <t>P0019</t>
  </si>
  <si>
    <t>Dolor Sit Amet Associates</t>
  </si>
  <si>
    <t>P0020</t>
  </si>
  <si>
    <t>Donec Est Mauris Ltd</t>
  </si>
  <si>
    <t>P0021</t>
  </si>
  <si>
    <t>Dui Lectus Rutrum PC</t>
  </si>
  <si>
    <t>P0022</t>
  </si>
  <si>
    <t>Dui Quis Industries</t>
  </si>
  <si>
    <t>P0023</t>
  </si>
  <si>
    <t>Egestas Rhoncus Corporation</t>
  </si>
  <si>
    <t>P0024</t>
  </si>
  <si>
    <t>Eget LLP</t>
  </si>
  <si>
    <t>P0025</t>
  </si>
  <si>
    <t>Eget Varius Corporation</t>
  </si>
  <si>
    <t>P0026</t>
  </si>
  <si>
    <t>Elementum Corp.</t>
  </si>
  <si>
    <t>P0027</t>
  </si>
  <si>
    <t>Elit Curabitur Sed Incorporated</t>
  </si>
  <si>
    <t>P0028</t>
  </si>
  <si>
    <t>Elit Elit Corporation</t>
  </si>
  <si>
    <t>P0029</t>
  </si>
  <si>
    <t>Enim Corporation</t>
  </si>
  <si>
    <t>P0030</t>
  </si>
  <si>
    <t>Enim Limited</t>
  </si>
  <si>
    <t>P0031</t>
  </si>
  <si>
    <t>Enim LLC</t>
  </si>
  <si>
    <t>P0032</t>
  </si>
  <si>
    <t>Et Euismod Et LLC</t>
  </si>
  <si>
    <t>P0033</t>
  </si>
  <si>
    <t>Et Foundation</t>
  </si>
  <si>
    <t>P0034</t>
  </si>
  <si>
    <t>Et Pede Nunc Incorporated</t>
  </si>
  <si>
    <t>P0035</t>
  </si>
  <si>
    <t>Etiam Ligula Inc.</t>
  </si>
  <si>
    <t>P0036</t>
  </si>
  <si>
    <t>Etiam Limited</t>
  </si>
  <si>
    <t>P0037</t>
  </si>
  <si>
    <t>Facilisis Magna Corporation</t>
  </si>
  <si>
    <t>P0038</t>
  </si>
  <si>
    <t>Fermentum Inc.</t>
  </si>
  <si>
    <t>P0039</t>
  </si>
  <si>
    <t>Fringilla Ornare LLC</t>
  </si>
  <si>
    <t>P0040</t>
  </si>
  <si>
    <t>Fusce Institute</t>
  </si>
  <si>
    <t>P0041</t>
  </si>
  <si>
    <t>Id Risus Quis Inc.</t>
  </si>
  <si>
    <t>P0042</t>
  </si>
  <si>
    <t>In Aliquet Limited</t>
  </si>
  <si>
    <t>P0043</t>
  </si>
  <si>
    <t>In Foundation</t>
  </si>
  <si>
    <t>P0044</t>
  </si>
  <si>
    <t>In Mi Pede Corporation</t>
  </si>
  <si>
    <t>P0045</t>
  </si>
  <si>
    <t>Integer Urna Associates</t>
  </si>
  <si>
    <t>P0046</t>
  </si>
  <si>
    <t>Integer Vitae Nibh Associates</t>
  </si>
  <si>
    <t>P0047</t>
  </si>
  <si>
    <t>Justo Proin Non LLP</t>
  </si>
  <si>
    <t>P0048</t>
  </si>
  <si>
    <t>Lacinia Vitae Sodales Corporation</t>
  </si>
  <si>
    <t>P0049</t>
  </si>
  <si>
    <t>Lacus Vestibulum Lorem Foundation</t>
  </si>
  <si>
    <t>P0050</t>
  </si>
  <si>
    <t>Lectus Convallis Est Inc.</t>
  </si>
  <si>
    <t>P0051</t>
  </si>
  <si>
    <t>Lectus Sit LLC</t>
  </si>
  <si>
    <t>P0052</t>
  </si>
  <si>
    <t>Libero Dui PC</t>
  </si>
  <si>
    <t>P0053</t>
  </si>
  <si>
    <t>Libero Morbi Industries</t>
  </si>
  <si>
    <t>P0054</t>
  </si>
  <si>
    <t>Luctus Vulputate LLP</t>
  </si>
  <si>
    <t>P0055</t>
  </si>
  <si>
    <t>Magna Foundation</t>
  </si>
  <si>
    <t>P0056</t>
  </si>
  <si>
    <t>Magna Industries</t>
  </si>
  <si>
    <t>P0057</t>
  </si>
  <si>
    <t>Malesuada Augue Industries</t>
  </si>
  <si>
    <t>P0058</t>
  </si>
  <si>
    <t>Mauris Blandit LLP</t>
  </si>
  <si>
    <t>P0059</t>
  </si>
  <si>
    <t>Metus Eu Company</t>
  </si>
  <si>
    <t>P0060</t>
  </si>
  <si>
    <t>Metus Vitae Velit Institute</t>
  </si>
  <si>
    <t>P0061</t>
  </si>
  <si>
    <t>Molestie Tortor Nibh Incorporated</t>
  </si>
  <si>
    <t>P0062</t>
  </si>
  <si>
    <t>Mollis Nec Consulting</t>
  </si>
  <si>
    <t>P0063</t>
  </si>
  <si>
    <t>Nec Ante Corporation</t>
  </si>
  <si>
    <t>P0064</t>
  </si>
  <si>
    <t>Nec Cursus Consulting</t>
  </si>
  <si>
    <t>P0065</t>
  </si>
  <si>
    <t>Nisi Dictum PC</t>
  </si>
  <si>
    <t>P0066</t>
  </si>
  <si>
    <t>Non Ltd</t>
  </si>
  <si>
    <t>P0067</t>
  </si>
  <si>
    <t>Nulla Donec Limited</t>
  </si>
  <si>
    <t>P0068</t>
  </si>
  <si>
    <t>Nulla Eu Industries</t>
  </si>
  <si>
    <t>P0069</t>
  </si>
  <si>
    <t>Nullam Enim Foundation</t>
  </si>
  <si>
    <t>P0070</t>
  </si>
  <si>
    <t>Nullam Scelerisque Corp.</t>
  </si>
  <si>
    <t>P0071</t>
  </si>
  <si>
    <t>Nunc Risus Limited</t>
  </si>
  <si>
    <t>P0072</t>
  </si>
  <si>
    <t>Nunc Risus Varius Foundation</t>
  </si>
  <si>
    <t>P0073</t>
  </si>
  <si>
    <t>Odio Associates</t>
  </si>
  <si>
    <t>P0074</t>
  </si>
  <si>
    <t>Orci In Consequat Company</t>
  </si>
  <si>
    <t>P0075</t>
  </si>
  <si>
    <t>Orci Quis PC</t>
  </si>
  <si>
    <t>P0076</t>
  </si>
  <si>
    <t>Ornare PC</t>
  </si>
  <si>
    <t>P0077</t>
  </si>
  <si>
    <t>Pede Suspendisse Corp.</t>
  </si>
  <si>
    <t>P0078</t>
  </si>
  <si>
    <t>Pharetra Nam Inc.</t>
  </si>
  <si>
    <t>P0079</t>
  </si>
  <si>
    <t>Placerat Cras Dictum Foundation</t>
  </si>
  <si>
    <t>P0080</t>
  </si>
  <si>
    <t>Purus Accumsan LLC</t>
  </si>
  <si>
    <t>P0081</t>
  </si>
  <si>
    <t>Purus Incorporated</t>
  </si>
  <si>
    <t>P0082</t>
  </si>
  <si>
    <t>Purus Maecenas LLC</t>
  </si>
  <si>
    <t>P0083</t>
  </si>
  <si>
    <t>Quis Arcu Foundation</t>
  </si>
  <si>
    <t>P0084</t>
  </si>
  <si>
    <t>Rhoncus Id Consulting</t>
  </si>
  <si>
    <t>P0085</t>
  </si>
  <si>
    <t>Sagittis Felis LLC</t>
  </si>
  <si>
    <t>P0086</t>
  </si>
  <si>
    <t>Sagittis Foundation</t>
  </si>
  <si>
    <t>P0087</t>
  </si>
  <si>
    <t>Sapien Imperdiet LLC</t>
  </si>
  <si>
    <t>P0088</t>
  </si>
  <si>
    <t>Sed Limited</t>
  </si>
  <si>
    <t>P0089</t>
  </si>
  <si>
    <t>Suspendisse Commodo Corp.</t>
  </si>
  <si>
    <t>P0090</t>
  </si>
  <si>
    <t>Suspendisse Dui Corp.</t>
  </si>
  <si>
    <t>P0091</t>
  </si>
  <si>
    <t>Tortor Integer Aliquam LLP</t>
  </si>
  <si>
    <t>P0092</t>
  </si>
  <si>
    <t>Turpis In Inc.</t>
  </si>
  <si>
    <t>P0093</t>
  </si>
  <si>
    <t>Ultricies Ligula LLC</t>
  </si>
  <si>
    <t>P0094</t>
  </si>
  <si>
    <t>Ut Erat Corp.</t>
  </si>
  <si>
    <t>P0095</t>
  </si>
  <si>
    <t>Ut Nec LLP</t>
  </si>
  <si>
    <t>P0096</t>
  </si>
  <si>
    <t>Vel Est Corporation</t>
  </si>
  <si>
    <t>P0097</t>
  </si>
  <si>
    <t>Vel Institute</t>
  </si>
  <si>
    <t>P0098</t>
  </si>
  <si>
    <t>Vestibulum Consulting</t>
  </si>
  <si>
    <t>P0099</t>
  </si>
  <si>
    <t>Vestibulum Limited</t>
  </si>
  <si>
    <t>P0100</t>
  </si>
  <si>
    <t>Volutpat Nulla LLP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</si>
</sst>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/d/yyyy"/>
    <numFmt numFmtId="165" formatCode="&quot;$&quot;#,##0.00"/>
    <numFmt numFmtId="166" formatCode="yyyy&quot;/&quot;mm&quot;/&quot;dd"/>
  </numFmts>
  <fonts count="5">
    <font>
      <sz val="10.0"/>
      <color rgb="FF000000"/>
      <name val="Arial"/>
      <scheme val="minor"/>
    </font>
    <font>
      <b/>
      <color theme="1"/>
      <name val="Arial"/>
    </font>
    <font>
      <b/>
      <color theme="1"/>
      <name val="Arial"/>
      <scheme val="minor"/>
    </font>
    <font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164" xfId="0" applyFont="1" applyNumberFormat="1"/>
    <xf borderId="0" fillId="0" fontId="1" numFmtId="165" xfId="0" applyFont="1" applyNumberFormat="1"/>
    <xf borderId="0" fillId="0" fontId="2" numFmtId="0" xfId="0" applyAlignment="1" applyFont="1">
      <alignment readingOrder="0"/>
    </xf>
    <xf borderId="0" fillId="0" fontId="1" numFmtId="0" xfId="0" applyAlignment="1" applyFont="1">
      <alignment vertical="bottom"/>
    </xf>
    <xf borderId="0" fillId="0" fontId="3" numFmtId="0" xfId="0" applyFont="1"/>
    <xf borderId="0" fillId="0" fontId="3" numFmtId="166" xfId="0" applyFont="1" applyNumberFormat="1"/>
    <xf borderId="0" fillId="0" fontId="3" numFmtId="3" xfId="0" applyFont="1" applyNumberFormat="1"/>
    <xf borderId="0" fillId="0" fontId="3" numFmtId="4" xfId="0" applyFont="1" applyNumberFormat="1"/>
    <xf borderId="0" fillId="0" fontId="4" numFmtId="0" xfId="0" applyFont="1"/>
    <xf borderId="0" fillId="0" fontId="4" numFmtId="3" xfId="0" applyFont="1" applyNumberFormat="1"/>
    <xf borderId="0" fillId="0" fontId="4" numFmtId="166" xfId="0" applyFont="1" applyNumberFormat="1"/>
    <xf borderId="0" fillId="0" fontId="3" numFmtId="164" xfId="0" applyFont="1" applyNumberFormat="1"/>
    <xf borderId="0" fillId="0" fontId="3" numFmtId="165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9.0"/>
    <col customWidth="1" min="2" max="2" width="28.0"/>
    <col customWidth="1" min="3" max="4" width="9.38"/>
    <col customWidth="1" min="5" max="5" width="11.75"/>
    <col customWidth="1" min="6" max="6" width="11.13"/>
    <col customWidth="1" min="7" max="7" width="22.25"/>
    <col customWidth="1" min="8" max="8" width="20.5"/>
  </cols>
  <sheetData>
    <row r="1" ht="15.75" customHeight="1">
      <c r="A1" s="1" t="s">
        <v>0</v>
      </c>
      <c r="B1" s="1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1" t="s">
        <v>6</v>
      </c>
      <c r="H1" s="1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5" t="s">
        <v>12</v>
      </c>
      <c r="N1" s="5" t="s">
        <v>13</v>
      </c>
    </row>
    <row r="2" ht="15.75" customHeight="1">
      <c r="A2" s="6" t="s">
        <v>14</v>
      </c>
      <c r="B2" s="6" t="s">
        <v>15</v>
      </c>
      <c r="C2" s="7">
        <v>44746.0</v>
      </c>
      <c r="D2" s="7">
        <v>45351.0</v>
      </c>
      <c r="E2" s="8">
        <v>63013.0</v>
      </c>
      <c r="F2" s="8">
        <v>24175.0</v>
      </c>
      <c r="G2" s="9">
        <v>5088.0</v>
      </c>
      <c r="H2" s="6" t="s">
        <v>16</v>
      </c>
      <c r="I2" s="10">
        <f t="shared" ref="I2:I101" si="1">D2-C2</f>
        <v>605</v>
      </c>
      <c r="J2" s="11">
        <f t="shared" ref="J2:J101" si="2">E2-F2</f>
        <v>38838</v>
      </c>
      <c r="K2" s="10">
        <f t="shared" ref="K2:K101" si="3">E2/F2</f>
        <v>2.606535677</v>
      </c>
      <c r="L2" s="10" t="str">
        <f t="shared" ref="L2:L101" si="4">IF(F2&gt;E2, "Over Budget", "Within Budget")</f>
        <v>Within Budget</v>
      </c>
      <c r="M2" s="12" t="str">
        <f t="shared" ref="M2:M101" si="5">TEXT(D2, "yyyy, mm")</f>
        <v>2024, 02</v>
      </c>
      <c r="N2" s="10">
        <f t="shared" ref="N2:N101" si="6">G2/E2</f>
        <v>0.08074524305</v>
      </c>
    </row>
    <row r="3" ht="15.75" customHeight="1">
      <c r="A3" s="6" t="s">
        <v>17</v>
      </c>
      <c r="B3" s="6" t="s">
        <v>18</v>
      </c>
      <c r="C3" s="7">
        <v>45471.0</v>
      </c>
      <c r="D3" s="7">
        <v>45489.0</v>
      </c>
      <c r="E3" s="8">
        <v>26541.0</v>
      </c>
      <c r="F3" s="8">
        <v>78307.0</v>
      </c>
      <c r="G3" s="9">
        <v>168.0</v>
      </c>
      <c r="H3" s="6" t="s">
        <v>19</v>
      </c>
      <c r="I3" s="10">
        <f t="shared" si="1"/>
        <v>18</v>
      </c>
      <c r="J3" s="11">
        <f t="shared" si="2"/>
        <v>-51766</v>
      </c>
      <c r="K3" s="10">
        <f t="shared" si="3"/>
        <v>0.3389352165</v>
      </c>
      <c r="L3" s="10" t="str">
        <f t="shared" si="4"/>
        <v>Over Budget</v>
      </c>
      <c r="M3" s="12" t="str">
        <f t="shared" si="5"/>
        <v>2024, 07</v>
      </c>
      <c r="N3" s="10">
        <f t="shared" si="6"/>
        <v>0.006329829321</v>
      </c>
    </row>
    <row r="4" ht="15.75" customHeight="1">
      <c r="A4" s="6" t="s">
        <v>20</v>
      </c>
      <c r="B4" s="6" t="s">
        <v>21</v>
      </c>
      <c r="C4" s="7">
        <v>45071.0</v>
      </c>
      <c r="D4" s="7">
        <v>45326.0</v>
      </c>
      <c r="E4" s="8">
        <v>10170.0</v>
      </c>
      <c r="F4" s="8">
        <v>19365.0</v>
      </c>
      <c r="G4" s="9">
        <v>1848.0</v>
      </c>
      <c r="H4" s="6" t="s">
        <v>16</v>
      </c>
      <c r="I4" s="10">
        <f t="shared" si="1"/>
        <v>255</v>
      </c>
      <c r="J4" s="11">
        <f t="shared" si="2"/>
        <v>-9195</v>
      </c>
      <c r="K4" s="10">
        <f t="shared" si="3"/>
        <v>0.5251742835</v>
      </c>
      <c r="L4" s="10" t="str">
        <f t="shared" si="4"/>
        <v>Over Budget</v>
      </c>
      <c r="M4" s="12" t="str">
        <f t="shared" si="5"/>
        <v>2024, 02</v>
      </c>
      <c r="N4" s="10">
        <f t="shared" si="6"/>
        <v>0.1817109145</v>
      </c>
    </row>
    <row r="5" ht="15.75" customHeight="1">
      <c r="A5" s="6" t="s">
        <v>22</v>
      </c>
      <c r="B5" s="6" t="s">
        <v>23</v>
      </c>
      <c r="C5" s="7">
        <v>45313.0</v>
      </c>
      <c r="D5" s="7">
        <v>45356.0</v>
      </c>
      <c r="E5" s="8">
        <v>56179.0</v>
      </c>
      <c r="F5" s="8">
        <v>45402.0</v>
      </c>
      <c r="G5" s="9">
        <v>264.0</v>
      </c>
      <c r="H5" s="6" t="s">
        <v>24</v>
      </c>
      <c r="I5" s="10">
        <f t="shared" si="1"/>
        <v>43</v>
      </c>
      <c r="J5" s="11">
        <f t="shared" si="2"/>
        <v>10777</v>
      </c>
      <c r="K5" s="10">
        <f t="shared" si="3"/>
        <v>1.237368398</v>
      </c>
      <c r="L5" s="10" t="str">
        <f t="shared" si="4"/>
        <v>Within Budget</v>
      </c>
      <c r="M5" s="12" t="str">
        <f t="shared" si="5"/>
        <v>2024, 03</v>
      </c>
      <c r="N5" s="10">
        <f t="shared" si="6"/>
        <v>0.00469926485</v>
      </c>
    </row>
    <row r="6" ht="15.75" customHeight="1">
      <c r="A6" s="6" t="s">
        <v>25</v>
      </c>
      <c r="B6" s="6" t="s">
        <v>26</v>
      </c>
      <c r="C6" s="7">
        <v>45259.0</v>
      </c>
      <c r="D6" s="7">
        <v>45600.0</v>
      </c>
      <c r="E6" s="8">
        <v>95856.0</v>
      </c>
      <c r="F6" s="8">
        <v>27009.0</v>
      </c>
      <c r="G6" s="9">
        <v>2136.0</v>
      </c>
      <c r="H6" s="6" t="s">
        <v>24</v>
      </c>
      <c r="I6" s="10">
        <f t="shared" si="1"/>
        <v>341</v>
      </c>
      <c r="J6" s="11">
        <f t="shared" si="2"/>
        <v>68847</v>
      </c>
      <c r="K6" s="10">
        <f t="shared" si="3"/>
        <v>3.549039209</v>
      </c>
      <c r="L6" s="10" t="str">
        <f t="shared" si="4"/>
        <v>Within Budget</v>
      </c>
      <c r="M6" s="12" t="str">
        <f t="shared" si="5"/>
        <v>2024, 11</v>
      </c>
      <c r="N6" s="10">
        <f t="shared" si="6"/>
        <v>0.02228342514</v>
      </c>
    </row>
    <row r="7" ht="15.75" customHeight="1">
      <c r="A7" s="6" t="s">
        <v>27</v>
      </c>
      <c r="B7" s="6" t="s">
        <v>28</v>
      </c>
      <c r="C7" s="7">
        <v>44901.0</v>
      </c>
      <c r="D7" s="7">
        <v>45264.0</v>
      </c>
      <c r="E7" s="8">
        <v>58409.0</v>
      </c>
      <c r="F7" s="8">
        <v>38263.0</v>
      </c>
      <c r="G7" s="9">
        <v>3504.0</v>
      </c>
      <c r="H7" s="6" t="s">
        <v>24</v>
      </c>
      <c r="I7" s="10">
        <f t="shared" si="1"/>
        <v>363</v>
      </c>
      <c r="J7" s="11">
        <f t="shared" si="2"/>
        <v>20146</v>
      </c>
      <c r="K7" s="10">
        <f t="shared" si="3"/>
        <v>1.526513865</v>
      </c>
      <c r="L7" s="10" t="str">
        <f t="shared" si="4"/>
        <v>Within Budget</v>
      </c>
      <c r="M7" s="12" t="str">
        <f t="shared" si="5"/>
        <v>2023, 12</v>
      </c>
      <c r="N7" s="10">
        <f t="shared" si="6"/>
        <v>0.05999075485</v>
      </c>
    </row>
    <row r="8" ht="15.75" customHeight="1">
      <c r="A8" s="6" t="s">
        <v>29</v>
      </c>
      <c r="B8" s="6" t="s">
        <v>30</v>
      </c>
      <c r="C8" s="7">
        <v>45021.0</v>
      </c>
      <c r="D8" s="7">
        <v>45430.0</v>
      </c>
      <c r="E8" s="8">
        <v>3084.0</v>
      </c>
      <c r="F8" s="8">
        <v>16490.0</v>
      </c>
      <c r="G8" s="9">
        <v>2856.0</v>
      </c>
      <c r="H8" s="6" t="s">
        <v>31</v>
      </c>
      <c r="I8" s="10">
        <f t="shared" si="1"/>
        <v>409</v>
      </c>
      <c r="J8" s="11">
        <f t="shared" si="2"/>
        <v>-13406</v>
      </c>
      <c r="K8" s="10">
        <f t="shared" si="3"/>
        <v>0.1870224378</v>
      </c>
      <c r="L8" s="10" t="str">
        <f t="shared" si="4"/>
        <v>Over Budget</v>
      </c>
      <c r="M8" s="12" t="str">
        <f t="shared" si="5"/>
        <v>2024, 05</v>
      </c>
      <c r="N8" s="10">
        <f t="shared" si="6"/>
        <v>0.9260700389</v>
      </c>
    </row>
    <row r="9" ht="15.75" customHeight="1">
      <c r="A9" s="6" t="s">
        <v>32</v>
      </c>
      <c r="B9" s="6" t="s">
        <v>33</v>
      </c>
      <c r="C9" s="7">
        <v>44832.0</v>
      </c>
      <c r="D9" s="7">
        <v>45466.0</v>
      </c>
      <c r="E9" s="8">
        <v>73102.0</v>
      </c>
      <c r="F9" s="8">
        <v>63467.0</v>
      </c>
      <c r="G9" s="9">
        <v>5184.0</v>
      </c>
      <c r="H9" s="6" t="s">
        <v>16</v>
      </c>
      <c r="I9" s="10">
        <f t="shared" si="1"/>
        <v>634</v>
      </c>
      <c r="J9" s="11">
        <f t="shared" si="2"/>
        <v>9635</v>
      </c>
      <c r="K9" s="10">
        <f t="shared" si="3"/>
        <v>1.151811177</v>
      </c>
      <c r="L9" s="10" t="str">
        <f t="shared" si="4"/>
        <v>Within Budget</v>
      </c>
      <c r="M9" s="12" t="str">
        <f t="shared" si="5"/>
        <v>2024, 06</v>
      </c>
      <c r="N9" s="10">
        <f t="shared" si="6"/>
        <v>0.07091461246</v>
      </c>
    </row>
    <row r="10" ht="15.75" customHeight="1">
      <c r="A10" s="6" t="s">
        <v>34</v>
      </c>
      <c r="B10" s="6" t="s">
        <v>35</v>
      </c>
      <c r="C10" s="7">
        <v>45175.0</v>
      </c>
      <c r="D10" s="7">
        <v>45264.0</v>
      </c>
      <c r="E10" s="8">
        <v>79855.0</v>
      </c>
      <c r="F10" s="8">
        <v>11143.0</v>
      </c>
      <c r="G10" s="9">
        <v>600.0</v>
      </c>
      <c r="H10" s="6" t="s">
        <v>16</v>
      </c>
      <c r="I10" s="10">
        <f t="shared" si="1"/>
        <v>89</v>
      </c>
      <c r="J10" s="11">
        <f t="shared" si="2"/>
        <v>68712</v>
      </c>
      <c r="K10" s="10">
        <f t="shared" si="3"/>
        <v>7.166382482</v>
      </c>
      <c r="L10" s="10" t="str">
        <f t="shared" si="4"/>
        <v>Within Budget</v>
      </c>
      <c r="M10" s="12" t="str">
        <f t="shared" si="5"/>
        <v>2023, 12</v>
      </c>
      <c r="N10" s="10">
        <f t="shared" si="6"/>
        <v>0.007513618433</v>
      </c>
    </row>
    <row r="11" ht="15.75" customHeight="1">
      <c r="A11" s="6" t="s">
        <v>36</v>
      </c>
      <c r="B11" s="6" t="s">
        <v>37</v>
      </c>
      <c r="C11" s="7">
        <v>44962.0</v>
      </c>
      <c r="D11" s="7">
        <v>45408.0</v>
      </c>
      <c r="E11" s="8">
        <v>14557.0</v>
      </c>
      <c r="F11" s="8">
        <v>70739.0</v>
      </c>
      <c r="G11" s="9">
        <v>3984.0</v>
      </c>
      <c r="H11" s="6" t="s">
        <v>24</v>
      </c>
      <c r="I11" s="10">
        <f t="shared" si="1"/>
        <v>446</v>
      </c>
      <c r="J11" s="11">
        <f t="shared" si="2"/>
        <v>-56182</v>
      </c>
      <c r="K11" s="10">
        <f t="shared" si="3"/>
        <v>0.205784645</v>
      </c>
      <c r="L11" s="10" t="str">
        <f t="shared" si="4"/>
        <v>Over Budget</v>
      </c>
      <c r="M11" s="12" t="str">
        <f t="shared" si="5"/>
        <v>2024, 04</v>
      </c>
      <c r="N11" s="10">
        <f t="shared" si="6"/>
        <v>0.2736827643</v>
      </c>
    </row>
    <row r="12" ht="15.75" customHeight="1">
      <c r="A12" s="6" t="s">
        <v>38</v>
      </c>
      <c r="B12" s="6" t="s">
        <v>39</v>
      </c>
      <c r="C12" s="7">
        <v>45385.0</v>
      </c>
      <c r="D12" s="7">
        <v>45443.0</v>
      </c>
      <c r="E12" s="8">
        <v>33113.0</v>
      </c>
      <c r="F12" s="8">
        <v>52259.0</v>
      </c>
      <c r="G12" s="9">
        <v>480.0</v>
      </c>
      <c r="H12" s="6" t="s">
        <v>16</v>
      </c>
      <c r="I12" s="10">
        <f t="shared" si="1"/>
        <v>58</v>
      </c>
      <c r="J12" s="11">
        <f t="shared" si="2"/>
        <v>-19146</v>
      </c>
      <c r="K12" s="10">
        <f t="shared" si="3"/>
        <v>0.6336324844</v>
      </c>
      <c r="L12" s="10" t="str">
        <f t="shared" si="4"/>
        <v>Over Budget</v>
      </c>
      <c r="M12" s="12" t="str">
        <f t="shared" si="5"/>
        <v>2024, 05</v>
      </c>
      <c r="N12" s="10">
        <f t="shared" si="6"/>
        <v>0.01449581735</v>
      </c>
    </row>
    <row r="13" ht="15.75" customHeight="1">
      <c r="A13" s="6" t="s">
        <v>40</v>
      </c>
      <c r="B13" s="6" t="s">
        <v>41</v>
      </c>
      <c r="C13" s="7">
        <v>44964.0</v>
      </c>
      <c r="D13" s="7">
        <v>45292.0</v>
      </c>
      <c r="E13" s="8">
        <v>94122.0</v>
      </c>
      <c r="F13" s="8">
        <v>59943.0</v>
      </c>
      <c r="G13" s="9">
        <v>2688.0</v>
      </c>
      <c r="H13" s="6" t="s">
        <v>24</v>
      </c>
      <c r="I13" s="10">
        <f t="shared" si="1"/>
        <v>328</v>
      </c>
      <c r="J13" s="11">
        <f t="shared" si="2"/>
        <v>34179</v>
      </c>
      <c r="K13" s="10">
        <f t="shared" si="3"/>
        <v>1.570191682</v>
      </c>
      <c r="L13" s="10" t="str">
        <f t="shared" si="4"/>
        <v>Within Budget</v>
      </c>
      <c r="M13" s="12" t="str">
        <f t="shared" si="5"/>
        <v>2024, 01</v>
      </c>
      <c r="N13" s="10">
        <f t="shared" si="6"/>
        <v>0.02855867916</v>
      </c>
    </row>
    <row r="14" ht="15.75" customHeight="1">
      <c r="A14" s="6" t="s">
        <v>42</v>
      </c>
      <c r="B14" s="6" t="s">
        <v>43</v>
      </c>
      <c r="C14" s="7">
        <v>44825.0</v>
      </c>
      <c r="D14" s="7">
        <v>45463.0</v>
      </c>
      <c r="E14" s="8">
        <v>65643.0</v>
      </c>
      <c r="F14" s="8">
        <v>30050.0</v>
      </c>
      <c r="G14" s="9">
        <v>6144.0</v>
      </c>
      <c r="H14" s="6" t="s">
        <v>16</v>
      </c>
      <c r="I14" s="10">
        <f t="shared" si="1"/>
        <v>638</v>
      </c>
      <c r="J14" s="11">
        <f t="shared" si="2"/>
        <v>35593</v>
      </c>
      <c r="K14" s="10">
        <f t="shared" si="3"/>
        <v>2.184459235</v>
      </c>
      <c r="L14" s="10" t="str">
        <f t="shared" si="4"/>
        <v>Within Budget</v>
      </c>
      <c r="M14" s="12" t="str">
        <f t="shared" si="5"/>
        <v>2024, 06</v>
      </c>
      <c r="N14" s="10">
        <f t="shared" si="6"/>
        <v>0.09359718477</v>
      </c>
    </row>
    <row r="15" ht="15.75" customHeight="1">
      <c r="A15" s="6" t="s">
        <v>44</v>
      </c>
      <c r="B15" s="6" t="s">
        <v>45</v>
      </c>
      <c r="C15" s="7">
        <v>44882.0</v>
      </c>
      <c r="D15" s="7">
        <v>45441.0</v>
      </c>
      <c r="E15" s="8">
        <v>34096.0</v>
      </c>
      <c r="F15" s="8">
        <v>28272.0</v>
      </c>
      <c r="G15" s="9">
        <v>4296.0</v>
      </c>
      <c r="H15" s="6" t="s">
        <v>24</v>
      </c>
      <c r="I15" s="10">
        <f t="shared" si="1"/>
        <v>559</v>
      </c>
      <c r="J15" s="11">
        <f t="shared" si="2"/>
        <v>5824</v>
      </c>
      <c r="K15" s="10">
        <f t="shared" si="3"/>
        <v>1.205998868</v>
      </c>
      <c r="L15" s="10" t="str">
        <f t="shared" si="4"/>
        <v>Within Budget</v>
      </c>
      <c r="M15" s="12" t="str">
        <f t="shared" si="5"/>
        <v>2024, 05</v>
      </c>
      <c r="N15" s="10">
        <f t="shared" si="6"/>
        <v>0.1259971844</v>
      </c>
    </row>
    <row r="16" ht="15.75" customHeight="1">
      <c r="A16" s="6" t="s">
        <v>46</v>
      </c>
      <c r="B16" s="6" t="s">
        <v>47</v>
      </c>
      <c r="C16" s="7">
        <v>44811.0</v>
      </c>
      <c r="D16" s="7">
        <v>45315.0</v>
      </c>
      <c r="E16" s="8">
        <v>12114.0</v>
      </c>
      <c r="F16" s="8">
        <v>65480.0</v>
      </c>
      <c r="G16" s="9">
        <v>3408.0</v>
      </c>
      <c r="H16" s="6" t="s">
        <v>16</v>
      </c>
      <c r="I16" s="10">
        <f t="shared" si="1"/>
        <v>504</v>
      </c>
      <c r="J16" s="11">
        <f t="shared" si="2"/>
        <v>-53366</v>
      </c>
      <c r="K16" s="10">
        <f t="shared" si="3"/>
        <v>0.1850030544</v>
      </c>
      <c r="L16" s="10" t="str">
        <f t="shared" si="4"/>
        <v>Over Budget</v>
      </c>
      <c r="M16" s="12" t="str">
        <f t="shared" si="5"/>
        <v>2024, 01</v>
      </c>
      <c r="N16" s="10">
        <f t="shared" si="6"/>
        <v>0.2813273898</v>
      </c>
    </row>
    <row r="17" ht="15.75" customHeight="1">
      <c r="A17" s="6" t="s">
        <v>48</v>
      </c>
      <c r="B17" s="6" t="s">
        <v>49</v>
      </c>
      <c r="C17" s="7">
        <v>44951.0</v>
      </c>
      <c r="D17" s="7">
        <v>45278.0</v>
      </c>
      <c r="E17" s="8">
        <v>50467.0</v>
      </c>
      <c r="F17" s="8">
        <v>70742.0</v>
      </c>
      <c r="G17" s="9">
        <v>2688.0</v>
      </c>
      <c r="H17" s="6" t="s">
        <v>24</v>
      </c>
      <c r="I17" s="10">
        <f t="shared" si="1"/>
        <v>327</v>
      </c>
      <c r="J17" s="11">
        <f t="shared" si="2"/>
        <v>-20275</v>
      </c>
      <c r="K17" s="10">
        <f t="shared" si="3"/>
        <v>0.7133951542</v>
      </c>
      <c r="L17" s="10" t="str">
        <f t="shared" si="4"/>
        <v>Over Budget</v>
      </c>
      <c r="M17" s="12" t="str">
        <f t="shared" si="5"/>
        <v>2023, 12</v>
      </c>
      <c r="N17" s="10">
        <f t="shared" si="6"/>
        <v>0.05326252799</v>
      </c>
    </row>
    <row r="18" ht="15.75" customHeight="1">
      <c r="A18" s="6" t="s">
        <v>50</v>
      </c>
      <c r="B18" s="6" t="s">
        <v>51</v>
      </c>
      <c r="C18" s="7">
        <v>44827.0</v>
      </c>
      <c r="D18" s="7">
        <v>45294.0</v>
      </c>
      <c r="E18" s="8">
        <v>89190.0</v>
      </c>
      <c r="F18" s="8">
        <v>28932.0</v>
      </c>
      <c r="G18" s="9">
        <v>3384.0</v>
      </c>
      <c r="H18" s="6" t="s">
        <v>24</v>
      </c>
      <c r="I18" s="10">
        <f t="shared" si="1"/>
        <v>467</v>
      </c>
      <c r="J18" s="11">
        <f t="shared" si="2"/>
        <v>60258</v>
      </c>
      <c r="K18" s="10">
        <f t="shared" si="3"/>
        <v>3.082745749</v>
      </c>
      <c r="L18" s="10" t="str">
        <f t="shared" si="4"/>
        <v>Within Budget</v>
      </c>
      <c r="M18" s="12" t="str">
        <f t="shared" si="5"/>
        <v>2024, 01</v>
      </c>
      <c r="N18" s="10">
        <f t="shared" si="6"/>
        <v>0.03794147326</v>
      </c>
    </row>
    <row r="19" ht="15.75" customHeight="1">
      <c r="A19" s="6" t="s">
        <v>52</v>
      </c>
      <c r="B19" s="6" t="s">
        <v>53</v>
      </c>
      <c r="C19" s="7">
        <v>44769.0</v>
      </c>
      <c r="D19" s="7">
        <v>45377.0</v>
      </c>
      <c r="E19" s="8">
        <v>10075.0</v>
      </c>
      <c r="F19" s="8">
        <v>47641.0</v>
      </c>
      <c r="G19" s="9">
        <v>4392.0</v>
      </c>
      <c r="H19" s="6" t="s">
        <v>24</v>
      </c>
      <c r="I19" s="10">
        <f t="shared" si="1"/>
        <v>608</v>
      </c>
      <c r="J19" s="11">
        <f t="shared" si="2"/>
        <v>-37566</v>
      </c>
      <c r="K19" s="10">
        <f t="shared" si="3"/>
        <v>0.2114775089</v>
      </c>
      <c r="L19" s="10" t="str">
        <f t="shared" si="4"/>
        <v>Over Budget</v>
      </c>
      <c r="M19" s="12" t="str">
        <f t="shared" si="5"/>
        <v>2024, 03</v>
      </c>
      <c r="N19" s="10">
        <f t="shared" si="6"/>
        <v>0.4359305211</v>
      </c>
    </row>
    <row r="20" ht="15.75" customHeight="1">
      <c r="A20" s="6" t="s">
        <v>54</v>
      </c>
      <c r="B20" s="6" t="s">
        <v>55</v>
      </c>
      <c r="C20" s="7">
        <v>45280.0</v>
      </c>
      <c r="D20" s="7">
        <v>45440.0</v>
      </c>
      <c r="E20" s="8">
        <v>10637.0</v>
      </c>
      <c r="F20" s="8">
        <v>5436.0</v>
      </c>
      <c r="G20" s="9">
        <v>1464.0</v>
      </c>
      <c r="H20" s="6" t="s">
        <v>24</v>
      </c>
      <c r="I20" s="10">
        <f t="shared" si="1"/>
        <v>160</v>
      </c>
      <c r="J20" s="11">
        <f t="shared" si="2"/>
        <v>5201</v>
      </c>
      <c r="K20" s="10">
        <f t="shared" si="3"/>
        <v>1.956769684</v>
      </c>
      <c r="L20" s="10" t="str">
        <f t="shared" si="4"/>
        <v>Within Budget</v>
      </c>
      <c r="M20" s="12" t="str">
        <f t="shared" si="5"/>
        <v>2024, 05</v>
      </c>
      <c r="N20" s="10">
        <f t="shared" si="6"/>
        <v>0.1376327912</v>
      </c>
    </row>
    <row r="21" ht="15.75" customHeight="1">
      <c r="A21" s="6" t="s">
        <v>56</v>
      </c>
      <c r="B21" s="6" t="s">
        <v>57</v>
      </c>
      <c r="C21" s="7">
        <v>44978.0</v>
      </c>
      <c r="D21" s="7">
        <v>45445.0</v>
      </c>
      <c r="E21" s="8">
        <v>45220.0</v>
      </c>
      <c r="F21" s="8">
        <v>12486.0</v>
      </c>
      <c r="G21" s="9">
        <v>3600.0</v>
      </c>
      <c r="H21" s="6" t="s">
        <v>24</v>
      </c>
      <c r="I21" s="10">
        <f t="shared" si="1"/>
        <v>467</v>
      </c>
      <c r="J21" s="11">
        <f t="shared" si="2"/>
        <v>32734</v>
      </c>
      <c r="K21" s="10">
        <f t="shared" si="3"/>
        <v>3.621656255</v>
      </c>
      <c r="L21" s="10" t="str">
        <f t="shared" si="4"/>
        <v>Within Budget</v>
      </c>
      <c r="M21" s="12" t="str">
        <f t="shared" si="5"/>
        <v>2024, 06</v>
      </c>
      <c r="N21" s="10">
        <f t="shared" si="6"/>
        <v>0.07961079169</v>
      </c>
    </row>
    <row r="22" ht="15.75" customHeight="1">
      <c r="A22" s="6" t="s">
        <v>58</v>
      </c>
      <c r="B22" s="6" t="s">
        <v>59</v>
      </c>
      <c r="C22" s="7">
        <v>44760.0</v>
      </c>
      <c r="D22" s="7">
        <v>45251.0</v>
      </c>
      <c r="E22" s="8">
        <v>55308.0</v>
      </c>
      <c r="F22" s="8">
        <v>79094.0</v>
      </c>
      <c r="G22" s="9">
        <v>4488.0</v>
      </c>
      <c r="H22" s="6" t="s">
        <v>19</v>
      </c>
      <c r="I22" s="10">
        <f t="shared" si="1"/>
        <v>491</v>
      </c>
      <c r="J22" s="11">
        <f t="shared" si="2"/>
        <v>-23786</v>
      </c>
      <c r="K22" s="10">
        <f t="shared" si="3"/>
        <v>0.699269224</v>
      </c>
      <c r="L22" s="10" t="str">
        <f t="shared" si="4"/>
        <v>Over Budget</v>
      </c>
      <c r="M22" s="12" t="str">
        <f t="shared" si="5"/>
        <v>2023, 11</v>
      </c>
      <c r="N22" s="10">
        <f t="shared" si="6"/>
        <v>0.08114558473</v>
      </c>
    </row>
    <row r="23" ht="15.75" customHeight="1">
      <c r="A23" s="6" t="s">
        <v>60</v>
      </c>
      <c r="B23" s="6" t="s">
        <v>61</v>
      </c>
      <c r="C23" s="7">
        <v>45257.0</v>
      </c>
      <c r="D23" s="7">
        <v>45318.0</v>
      </c>
      <c r="E23" s="8">
        <v>91994.0</v>
      </c>
      <c r="F23" s="8">
        <v>51393.0</v>
      </c>
      <c r="G23" s="9">
        <v>456.0</v>
      </c>
      <c r="H23" s="6" t="s">
        <v>24</v>
      </c>
      <c r="I23" s="10">
        <f t="shared" si="1"/>
        <v>61</v>
      </c>
      <c r="J23" s="11">
        <f t="shared" si="2"/>
        <v>40601</v>
      </c>
      <c r="K23" s="10">
        <f t="shared" si="3"/>
        <v>1.790010313</v>
      </c>
      <c r="L23" s="10" t="str">
        <f t="shared" si="4"/>
        <v>Within Budget</v>
      </c>
      <c r="M23" s="12" t="str">
        <f t="shared" si="5"/>
        <v>2024, 01</v>
      </c>
      <c r="N23" s="10">
        <f t="shared" si="6"/>
        <v>0.004956845012</v>
      </c>
    </row>
    <row r="24" ht="15.75" customHeight="1">
      <c r="A24" s="6" t="s">
        <v>62</v>
      </c>
      <c r="B24" s="6" t="s">
        <v>63</v>
      </c>
      <c r="C24" s="7">
        <v>45016.0</v>
      </c>
      <c r="D24" s="7">
        <v>45291.0</v>
      </c>
      <c r="E24" s="8">
        <v>70430.0</v>
      </c>
      <c r="F24" s="8">
        <v>14113.0</v>
      </c>
      <c r="G24" s="9">
        <v>2376.0</v>
      </c>
      <c r="H24" s="6" t="s">
        <v>24</v>
      </c>
      <c r="I24" s="10">
        <f t="shared" si="1"/>
        <v>275</v>
      </c>
      <c r="J24" s="11">
        <f t="shared" si="2"/>
        <v>56317</v>
      </c>
      <c r="K24" s="10">
        <f t="shared" si="3"/>
        <v>4.990434351</v>
      </c>
      <c r="L24" s="10" t="str">
        <f t="shared" si="4"/>
        <v>Within Budget</v>
      </c>
      <c r="M24" s="12" t="str">
        <f t="shared" si="5"/>
        <v>2023, 12</v>
      </c>
      <c r="N24" s="10">
        <f t="shared" si="6"/>
        <v>0.03373562402</v>
      </c>
    </row>
    <row r="25" ht="15.75" customHeight="1">
      <c r="A25" s="6" t="s">
        <v>64</v>
      </c>
      <c r="B25" s="6" t="s">
        <v>65</v>
      </c>
      <c r="C25" s="7">
        <v>45207.0</v>
      </c>
      <c r="D25" s="7">
        <v>45324.0</v>
      </c>
      <c r="E25" s="8">
        <v>51687.0</v>
      </c>
      <c r="F25" s="8">
        <v>78988.0</v>
      </c>
      <c r="G25" s="9">
        <v>888.0</v>
      </c>
      <c r="H25" s="6" t="s">
        <v>19</v>
      </c>
      <c r="I25" s="10">
        <f t="shared" si="1"/>
        <v>117</v>
      </c>
      <c r="J25" s="11">
        <f t="shared" si="2"/>
        <v>-27301</v>
      </c>
      <c r="K25" s="10">
        <f t="shared" si="3"/>
        <v>0.65436522</v>
      </c>
      <c r="L25" s="10" t="str">
        <f t="shared" si="4"/>
        <v>Over Budget</v>
      </c>
      <c r="M25" s="12" t="str">
        <f t="shared" si="5"/>
        <v>2024, 02</v>
      </c>
      <c r="N25" s="10">
        <f t="shared" si="6"/>
        <v>0.01718033548</v>
      </c>
    </row>
    <row r="26" ht="15.75" customHeight="1">
      <c r="A26" s="6" t="s">
        <v>66</v>
      </c>
      <c r="B26" s="6" t="s">
        <v>67</v>
      </c>
      <c r="C26" s="7">
        <v>45304.0</v>
      </c>
      <c r="D26" s="7">
        <v>45640.0</v>
      </c>
      <c r="E26" s="8">
        <v>15985.0</v>
      </c>
      <c r="F26" s="8">
        <v>22287.0</v>
      </c>
      <c r="G26" s="9">
        <v>2016.0</v>
      </c>
      <c r="H26" s="6" t="s">
        <v>16</v>
      </c>
      <c r="I26" s="10">
        <f t="shared" si="1"/>
        <v>336</v>
      </c>
      <c r="J26" s="11">
        <f t="shared" si="2"/>
        <v>-6302</v>
      </c>
      <c r="K26" s="10">
        <f t="shared" si="3"/>
        <v>0.7172342621</v>
      </c>
      <c r="L26" s="10" t="str">
        <f t="shared" si="4"/>
        <v>Over Budget</v>
      </c>
      <c r="M26" s="12" t="str">
        <f t="shared" si="5"/>
        <v>2024, 12</v>
      </c>
      <c r="N26" s="10">
        <f t="shared" si="6"/>
        <v>0.1261182358</v>
      </c>
    </row>
    <row r="27" ht="15.75" customHeight="1">
      <c r="A27" s="6" t="s">
        <v>68</v>
      </c>
      <c r="B27" s="6" t="s">
        <v>69</v>
      </c>
      <c r="C27" s="7">
        <v>44787.0</v>
      </c>
      <c r="D27" s="7">
        <v>45437.0</v>
      </c>
      <c r="E27" s="8">
        <v>54389.0</v>
      </c>
      <c r="F27" s="8">
        <v>62873.0</v>
      </c>
      <c r="G27" s="9">
        <v>4680.0</v>
      </c>
      <c r="H27" s="6" t="s">
        <v>16</v>
      </c>
      <c r="I27" s="10">
        <f t="shared" si="1"/>
        <v>650</v>
      </c>
      <c r="J27" s="11">
        <f t="shared" si="2"/>
        <v>-8484</v>
      </c>
      <c r="K27" s="10">
        <f t="shared" si="3"/>
        <v>0.8650613141</v>
      </c>
      <c r="L27" s="10" t="str">
        <f t="shared" si="4"/>
        <v>Over Budget</v>
      </c>
      <c r="M27" s="12" t="str">
        <f t="shared" si="5"/>
        <v>2024, 05</v>
      </c>
      <c r="N27" s="10">
        <f t="shared" si="6"/>
        <v>0.08604681094</v>
      </c>
    </row>
    <row r="28" ht="15.75" customHeight="1">
      <c r="A28" s="6" t="s">
        <v>70</v>
      </c>
      <c r="B28" s="6" t="s">
        <v>71</v>
      </c>
      <c r="C28" s="7">
        <v>45364.0</v>
      </c>
      <c r="D28" s="7">
        <v>45370.0</v>
      </c>
      <c r="E28" s="8">
        <v>90476.0</v>
      </c>
      <c r="F28" s="8">
        <v>32982.0</v>
      </c>
      <c r="G28" s="9">
        <v>48.0</v>
      </c>
      <c r="H28" s="6" t="s">
        <v>16</v>
      </c>
      <c r="I28" s="10">
        <f t="shared" si="1"/>
        <v>6</v>
      </c>
      <c r="J28" s="11">
        <f t="shared" si="2"/>
        <v>57494</v>
      </c>
      <c r="K28" s="10">
        <f t="shared" si="3"/>
        <v>2.743193257</v>
      </c>
      <c r="L28" s="10" t="str">
        <f t="shared" si="4"/>
        <v>Within Budget</v>
      </c>
      <c r="M28" s="12" t="str">
        <f t="shared" si="5"/>
        <v>2024, 03</v>
      </c>
      <c r="N28" s="10">
        <f t="shared" si="6"/>
        <v>0.0005305274327</v>
      </c>
    </row>
    <row r="29" ht="15.75" customHeight="1">
      <c r="A29" s="6" t="s">
        <v>72</v>
      </c>
      <c r="B29" s="6" t="s">
        <v>73</v>
      </c>
      <c r="C29" s="7">
        <v>45303.0</v>
      </c>
      <c r="D29" s="7">
        <v>45427.0</v>
      </c>
      <c r="E29" s="8">
        <v>13922.0</v>
      </c>
      <c r="F29" s="8">
        <v>5923.0</v>
      </c>
      <c r="G29" s="9">
        <v>1176.0</v>
      </c>
      <c r="H29" s="6" t="s">
        <v>24</v>
      </c>
      <c r="I29" s="10">
        <f t="shared" si="1"/>
        <v>124</v>
      </c>
      <c r="J29" s="11">
        <f t="shared" si="2"/>
        <v>7999</v>
      </c>
      <c r="K29" s="10">
        <f t="shared" si="3"/>
        <v>2.350498058</v>
      </c>
      <c r="L29" s="10" t="str">
        <f t="shared" si="4"/>
        <v>Within Budget</v>
      </c>
      <c r="M29" s="12" t="str">
        <f t="shared" si="5"/>
        <v>2024, 05</v>
      </c>
      <c r="N29" s="10">
        <f t="shared" si="6"/>
        <v>0.08447062204</v>
      </c>
    </row>
    <row r="30" ht="15.75" customHeight="1">
      <c r="A30" s="6" t="s">
        <v>74</v>
      </c>
      <c r="B30" s="6" t="s">
        <v>75</v>
      </c>
      <c r="C30" s="7">
        <v>45365.0</v>
      </c>
      <c r="D30" s="7">
        <v>45564.0</v>
      </c>
      <c r="E30" s="8">
        <v>59710.0</v>
      </c>
      <c r="F30" s="8">
        <v>27301.0</v>
      </c>
      <c r="G30" s="9">
        <v>1728.0</v>
      </c>
      <c r="H30" s="6" t="s">
        <v>16</v>
      </c>
      <c r="I30" s="10">
        <f t="shared" si="1"/>
        <v>199</v>
      </c>
      <c r="J30" s="11">
        <f t="shared" si="2"/>
        <v>32409</v>
      </c>
      <c r="K30" s="10">
        <f t="shared" si="3"/>
        <v>2.187099374</v>
      </c>
      <c r="L30" s="10" t="str">
        <f t="shared" si="4"/>
        <v>Within Budget</v>
      </c>
      <c r="M30" s="12" t="str">
        <f t="shared" si="5"/>
        <v>2024, 09</v>
      </c>
      <c r="N30" s="10">
        <f t="shared" si="6"/>
        <v>0.02893987607</v>
      </c>
    </row>
    <row r="31" ht="15.75" customHeight="1">
      <c r="A31" s="6" t="s">
        <v>76</v>
      </c>
      <c r="B31" s="6" t="s">
        <v>77</v>
      </c>
      <c r="C31" s="7">
        <v>45099.0</v>
      </c>
      <c r="D31" s="7">
        <v>45265.0</v>
      </c>
      <c r="E31" s="8">
        <v>47028.0</v>
      </c>
      <c r="F31" s="8">
        <v>75708.0</v>
      </c>
      <c r="G31" s="9">
        <v>1176.0</v>
      </c>
      <c r="H31" s="6" t="s">
        <v>19</v>
      </c>
      <c r="I31" s="10">
        <f t="shared" si="1"/>
        <v>166</v>
      </c>
      <c r="J31" s="11">
        <f t="shared" si="2"/>
        <v>-28680</v>
      </c>
      <c r="K31" s="10">
        <f t="shared" si="3"/>
        <v>0.6211760976</v>
      </c>
      <c r="L31" s="10" t="str">
        <f t="shared" si="4"/>
        <v>Over Budget</v>
      </c>
      <c r="M31" s="12" t="str">
        <f t="shared" si="5"/>
        <v>2023, 12</v>
      </c>
      <c r="N31" s="10">
        <f t="shared" si="6"/>
        <v>0.02500637918</v>
      </c>
    </row>
    <row r="32" ht="15.75" customHeight="1">
      <c r="A32" s="6" t="s">
        <v>78</v>
      </c>
      <c r="B32" s="6" t="s">
        <v>79</v>
      </c>
      <c r="C32" s="7">
        <v>44857.0</v>
      </c>
      <c r="D32" s="7">
        <v>45459.0</v>
      </c>
      <c r="E32" s="8">
        <v>56663.0</v>
      </c>
      <c r="F32" s="8">
        <v>4976.0</v>
      </c>
      <c r="G32" s="9">
        <v>5496.0</v>
      </c>
      <c r="H32" s="6" t="s">
        <v>16</v>
      </c>
      <c r="I32" s="10">
        <f t="shared" si="1"/>
        <v>602</v>
      </c>
      <c r="J32" s="11">
        <f t="shared" si="2"/>
        <v>51687</v>
      </c>
      <c r="K32" s="10">
        <f t="shared" si="3"/>
        <v>11.38725884</v>
      </c>
      <c r="L32" s="10" t="str">
        <f t="shared" si="4"/>
        <v>Within Budget</v>
      </c>
      <c r="M32" s="12" t="str">
        <f t="shared" si="5"/>
        <v>2024, 06</v>
      </c>
      <c r="N32" s="10">
        <f t="shared" si="6"/>
        <v>0.09699451141</v>
      </c>
    </row>
    <row r="33" ht="15.75" customHeight="1">
      <c r="A33" s="6" t="s">
        <v>80</v>
      </c>
      <c r="B33" s="6" t="s">
        <v>81</v>
      </c>
      <c r="C33" s="7">
        <v>45011.0</v>
      </c>
      <c r="D33" s="7">
        <v>45348.0</v>
      </c>
      <c r="E33" s="8">
        <v>2151.0</v>
      </c>
      <c r="F33" s="8">
        <v>73882.0</v>
      </c>
      <c r="G33" s="9">
        <v>3096.0</v>
      </c>
      <c r="H33" s="6" t="s">
        <v>31</v>
      </c>
      <c r="I33" s="10">
        <f t="shared" si="1"/>
        <v>337</v>
      </c>
      <c r="J33" s="11">
        <f t="shared" si="2"/>
        <v>-71731</v>
      </c>
      <c r="K33" s="10">
        <f t="shared" si="3"/>
        <v>0.02911399258</v>
      </c>
      <c r="L33" s="10" t="str">
        <f t="shared" si="4"/>
        <v>Over Budget</v>
      </c>
      <c r="M33" s="12" t="str">
        <f t="shared" si="5"/>
        <v>2024, 02</v>
      </c>
      <c r="N33" s="10">
        <f t="shared" si="6"/>
        <v>1.439330544</v>
      </c>
    </row>
    <row r="34" ht="15.75" customHeight="1">
      <c r="A34" s="6" t="s">
        <v>82</v>
      </c>
      <c r="B34" s="6" t="s">
        <v>83</v>
      </c>
      <c r="C34" s="7">
        <v>44768.0</v>
      </c>
      <c r="D34" s="7">
        <v>45458.0</v>
      </c>
      <c r="E34" s="8">
        <v>24519.0</v>
      </c>
      <c r="F34" s="8">
        <v>45416.0</v>
      </c>
      <c r="G34" s="9">
        <v>5640.0</v>
      </c>
      <c r="H34" s="6" t="s">
        <v>16</v>
      </c>
      <c r="I34" s="10">
        <f t="shared" si="1"/>
        <v>690</v>
      </c>
      <c r="J34" s="11">
        <f t="shared" si="2"/>
        <v>-20897</v>
      </c>
      <c r="K34" s="10">
        <f t="shared" si="3"/>
        <v>0.5398758147</v>
      </c>
      <c r="L34" s="10" t="str">
        <f t="shared" si="4"/>
        <v>Over Budget</v>
      </c>
      <c r="M34" s="12" t="str">
        <f t="shared" si="5"/>
        <v>2024, 06</v>
      </c>
      <c r="N34" s="10">
        <f t="shared" si="6"/>
        <v>0.2300256944</v>
      </c>
    </row>
    <row r="35" ht="15.75" customHeight="1">
      <c r="A35" s="6" t="s">
        <v>84</v>
      </c>
      <c r="B35" s="6" t="s">
        <v>85</v>
      </c>
      <c r="C35" s="7">
        <v>44952.0</v>
      </c>
      <c r="D35" s="7">
        <v>45358.0</v>
      </c>
      <c r="E35" s="8">
        <v>76479.0</v>
      </c>
      <c r="F35" s="8">
        <v>43244.0</v>
      </c>
      <c r="G35" s="9">
        <v>2448.0</v>
      </c>
      <c r="H35" s="6" t="s">
        <v>24</v>
      </c>
      <c r="I35" s="10">
        <f t="shared" si="1"/>
        <v>406</v>
      </c>
      <c r="J35" s="11">
        <f t="shared" si="2"/>
        <v>33235</v>
      </c>
      <c r="K35" s="10">
        <f t="shared" si="3"/>
        <v>1.768545925</v>
      </c>
      <c r="L35" s="10" t="str">
        <f t="shared" si="4"/>
        <v>Within Budget</v>
      </c>
      <c r="M35" s="12" t="str">
        <f t="shared" si="5"/>
        <v>2024, 03</v>
      </c>
      <c r="N35" s="10">
        <f t="shared" si="6"/>
        <v>0.03200878673</v>
      </c>
    </row>
    <row r="36" ht="15.75" customHeight="1">
      <c r="A36" s="6" t="s">
        <v>86</v>
      </c>
      <c r="B36" s="6" t="s">
        <v>87</v>
      </c>
      <c r="C36" s="7">
        <v>45387.0</v>
      </c>
      <c r="D36" s="7">
        <v>45540.0</v>
      </c>
      <c r="E36" s="8">
        <v>5269.0</v>
      </c>
      <c r="F36" s="8">
        <v>63666.0</v>
      </c>
      <c r="G36" s="9">
        <v>1440.0</v>
      </c>
      <c r="H36" s="6" t="s">
        <v>16</v>
      </c>
      <c r="I36" s="10">
        <f t="shared" si="1"/>
        <v>153</v>
      </c>
      <c r="J36" s="11">
        <f t="shared" si="2"/>
        <v>-58397</v>
      </c>
      <c r="K36" s="10">
        <f t="shared" si="3"/>
        <v>0.0827600289</v>
      </c>
      <c r="L36" s="10" t="str">
        <f t="shared" si="4"/>
        <v>Over Budget</v>
      </c>
      <c r="M36" s="12" t="str">
        <f t="shared" si="5"/>
        <v>2024, 09</v>
      </c>
      <c r="N36" s="10">
        <f t="shared" si="6"/>
        <v>0.2732966407</v>
      </c>
    </row>
    <row r="37" ht="15.75" customHeight="1">
      <c r="A37" s="6" t="s">
        <v>88</v>
      </c>
      <c r="B37" s="6" t="s">
        <v>89</v>
      </c>
      <c r="C37" s="7">
        <v>45334.0</v>
      </c>
      <c r="D37" s="7">
        <v>45447.0</v>
      </c>
      <c r="E37" s="8">
        <v>84323.0</v>
      </c>
      <c r="F37" s="8">
        <v>59215.0</v>
      </c>
      <c r="G37" s="9">
        <v>768.0</v>
      </c>
      <c r="H37" s="6" t="s">
        <v>24</v>
      </c>
      <c r="I37" s="10">
        <f t="shared" si="1"/>
        <v>113</v>
      </c>
      <c r="J37" s="11">
        <f t="shared" si="2"/>
        <v>25108</v>
      </c>
      <c r="K37" s="10">
        <f t="shared" si="3"/>
        <v>1.424014186</v>
      </c>
      <c r="L37" s="10" t="str">
        <f t="shared" si="4"/>
        <v>Within Budget</v>
      </c>
      <c r="M37" s="12" t="str">
        <f t="shared" si="5"/>
        <v>2024, 06</v>
      </c>
      <c r="N37" s="10">
        <f t="shared" si="6"/>
        <v>0.009107835347</v>
      </c>
    </row>
    <row r="38" ht="15.75" customHeight="1">
      <c r="A38" s="6" t="s">
        <v>90</v>
      </c>
      <c r="B38" s="6" t="s">
        <v>91</v>
      </c>
      <c r="C38" s="7">
        <v>45294.0</v>
      </c>
      <c r="D38" s="7">
        <v>45578.0</v>
      </c>
      <c r="E38" s="8">
        <v>95630.0</v>
      </c>
      <c r="F38" s="8">
        <v>282.0</v>
      </c>
      <c r="G38" s="9">
        <v>2472.0</v>
      </c>
      <c r="H38" s="6" t="s">
        <v>24</v>
      </c>
      <c r="I38" s="10">
        <f t="shared" si="1"/>
        <v>284</v>
      </c>
      <c r="J38" s="11">
        <f t="shared" si="2"/>
        <v>95348</v>
      </c>
      <c r="K38" s="10">
        <f t="shared" si="3"/>
        <v>339.1134752</v>
      </c>
      <c r="L38" s="10" t="str">
        <f t="shared" si="4"/>
        <v>Within Budget</v>
      </c>
      <c r="M38" s="12" t="str">
        <f t="shared" si="5"/>
        <v>2024, 10</v>
      </c>
      <c r="N38" s="10">
        <f t="shared" si="6"/>
        <v>0.02584962878</v>
      </c>
    </row>
    <row r="39" ht="15.75" customHeight="1">
      <c r="A39" s="6" t="s">
        <v>92</v>
      </c>
      <c r="B39" s="6" t="s">
        <v>93</v>
      </c>
      <c r="C39" s="7">
        <v>45398.0</v>
      </c>
      <c r="D39" s="7">
        <v>45552.0</v>
      </c>
      <c r="E39" s="8">
        <v>14792.0</v>
      </c>
      <c r="F39" s="8">
        <v>52565.0</v>
      </c>
      <c r="G39" s="9">
        <v>1464.0</v>
      </c>
      <c r="H39" s="6" t="s">
        <v>31</v>
      </c>
      <c r="I39" s="10">
        <f t="shared" si="1"/>
        <v>154</v>
      </c>
      <c r="J39" s="11">
        <f t="shared" si="2"/>
        <v>-37773</v>
      </c>
      <c r="K39" s="10">
        <f t="shared" si="3"/>
        <v>0.281403976</v>
      </c>
      <c r="L39" s="10" t="str">
        <f t="shared" si="4"/>
        <v>Over Budget</v>
      </c>
      <c r="M39" s="12" t="str">
        <f t="shared" si="5"/>
        <v>2024, 09</v>
      </c>
      <c r="N39" s="10">
        <f t="shared" si="6"/>
        <v>0.09897241752</v>
      </c>
    </row>
    <row r="40" ht="15.75" customHeight="1">
      <c r="A40" s="6" t="s">
        <v>94</v>
      </c>
      <c r="B40" s="6" t="s">
        <v>95</v>
      </c>
      <c r="C40" s="7">
        <v>45250.0</v>
      </c>
      <c r="D40" s="7">
        <v>45505.0</v>
      </c>
      <c r="E40" s="8">
        <v>13930.0</v>
      </c>
      <c r="F40" s="8">
        <v>33694.0</v>
      </c>
      <c r="G40" s="9">
        <v>1656.0</v>
      </c>
      <c r="H40" s="6" t="s">
        <v>24</v>
      </c>
      <c r="I40" s="10">
        <f t="shared" si="1"/>
        <v>255</v>
      </c>
      <c r="J40" s="11">
        <f t="shared" si="2"/>
        <v>-19764</v>
      </c>
      <c r="K40" s="10">
        <f t="shared" si="3"/>
        <v>0.4134267229</v>
      </c>
      <c r="L40" s="10" t="str">
        <f t="shared" si="4"/>
        <v>Over Budget</v>
      </c>
      <c r="M40" s="12" t="str">
        <f t="shared" si="5"/>
        <v>2024, 08</v>
      </c>
      <c r="N40" s="10">
        <f t="shared" si="6"/>
        <v>0.1188801149</v>
      </c>
    </row>
    <row r="41" ht="15.75" customHeight="1">
      <c r="A41" s="6" t="s">
        <v>96</v>
      </c>
      <c r="B41" s="6" t="s">
        <v>97</v>
      </c>
      <c r="C41" s="7">
        <v>45094.0</v>
      </c>
      <c r="D41" s="7">
        <v>45394.0</v>
      </c>
      <c r="E41" s="8">
        <v>90420.0</v>
      </c>
      <c r="F41" s="8">
        <v>35780.0</v>
      </c>
      <c r="G41" s="9">
        <v>2736.0</v>
      </c>
      <c r="H41" s="6" t="s">
        <v>24</v>
      </c>
      <c r="I41" s="10">
        <f t="shared" si="1"/>
        <v>300</v>
      </c>
      <c r="J41" s="11">
        <f t="shared" si="2"/>
        <v>54640</v>
      </c>
      <c r="K41" s="10">
        <f t="shared" si="3"/>
        <v>2.527110117</v>
      </c>
      <c r="L41" s="10" t="str">
        <f t="shared" si="4"/>
        <v>Within Budget</v>
      </c>
      <c r="M41" s="12" t="str">
        <f t="shared" si="5"/>
        <v>2024, 04</v>
      </c>
      <c r="N41" s="10">
        <f t="shared" si="6"/>
        <v>0.0302587923</v>
      </c>
    </row>
    <row r="42" ht="15.75" customHeight="1">
      <c r="A42" s="6" t="s">
        <v>98</v>
      </c>
      <c r="B42" s="6" t="s">
        <v>99</v>
      </c>
      <c r="C42" s="7">
        <v>45345.0</v>
      </c>
      <c r="D42" s="7">
        <v>45466.0</v>
      </c>
      <c r="E42" s="8">
        <v>88314.0</v>
      </c>
      <c r="F42" s="8">
        <v>70449.0</v>
      </c>
      <c r="G42" s="9">
        <v>792.0</v>
      </c>
      <c r="H42" s="6" t="s">
        <v>16</v>
      </c>
      <c r="I42" s="10">
        <f t="shared" si="1"/>
        <v>121</v>
      </c>
      <c r="J42" s="11">
        <f t="shared" si="2"/>
        <v>17865</v>
      </c>
      <c r="K42" s="10">
        <f t="shared" si="3"/>
        <v>1.253587702</v>
      </c>
      <c r="L42" s="10" t="str">
        <f t="shared" si="4"/>
        <v>Within Budget</v>
      </c>
      <c r="M42" s="12" t="str">
        <f t="shared" si="5"/>
        <v>2024, 06</v>
      </c>
      <c r="N42" s="10">
        <f t="shared" si="6"/>
        <v>0.008968000544</v>
      </c>
    </row>
    <row r="43" ht="15.75" customHeight="1">
      <c r="A43" s="6" t="s">
        <v>100</v>
      </c>
      <c r="B43" s="6" t="s">
        <v>101</v>
      </c>
      <c r="C43" s="7">
        <v>45022.0</v>
      </c>
      <c r="D43" s="7">
        <v>45286.0</v>
      </c>
      <c r="E43" s="8">
        <v>54013.0</v>
      </c>
      <c r="F43" s="8">
        <v>29571.0</v>
      </c>
      <c r="G43" s="9">
        <v>1848.0</v>
      </c>
      <c r="H43" s="6" t="s">
        <v>24</v>
      </c>
      <c r="I43" s="10">
        <f t="shared" si="1"/>
        <v>264</v>
      </c>
      <c r="J43" s="11">
        <f t="shared" si="2"/>
        <v>24442</v>
      </c>
      <c r="K43" s="10">
        <f t="shared" si="3"/>
        <v>1.826553042</v>
      </c>
      <c r="L43" s="10" t="str">
        <f t="shared" si="4"/>
        <v>Within Budget</v>
      </c>
      <c r="M43" s="12" t="str">
        <f t="shared" si="5"/>
        <v>2023, 12</v>
      </c>
      <c r="N43" s="10">
        <f t="shared" si="6"/>
        <v>0.03421398552</v>
      </c>
    </row>
    <row r="44" ht="15.75" customHeight="1">
      <c r="A44" s="6" t="s">
        <v>102</v>
      </c>
      <c r="B44" s="6" t="s">
        <v>103</v>
      </c>
      <c r="C44" s="7">
        <v>45063.0</v>
      </c>
      <c r="D44" s="7">
        <v>45258.0</v>
      </c>
      <c r="E44" s="8">
        <v>28316.0</v>
      </c>
      <c r="F44" s="8">
        <v>76262.0</v>
      </c>
      <c r="G44" s="9">
        <v>1800.0</v>
      </c>
      <c r="H44" s="6" t="s">
        <v>19</v>
      </c>
      <c r="I44" s="10">
        <f t="shared" si="1"/>
        <v>195</v>
      </c>
      <c r="J44" s="11">
        <f t="shared" si="2"/>
        <v>-47946</v>
      </c>
      <c r="K44" s="10">
        <f t="shared" si="3"/>
        <v>0.3712989431</v>
      </c>
      <c r="L44" s="10" t="str">
        <f t="shared" si="4"/>
        <v>Over Budget</v>
      </c>
      <c r="M44" s="12" t="str">
        <f t="shared" si="5"/>
        <v>2023, 11</v>
      </c>
      <c r="N44" s="10">
        <f t="shared" si="6"/>
        <v>0.06356830061</v>
      </c>
    </row>
    <row r="45" ht="15.75" customHeight="1">
      <c r="A45" s="6" t="s">
        <v>104</v>
      </c>
      <c r="B45" s="6" t="s">
        <v>105</v>
      </c>
      <c r="C45" s="7">
        <v>45376.0</v>
      </c>
      <c r="D45" s="7">
        <v>45422.0</v>
      </c>
      <c r="E45" s="8">
        <v>57819.0</v>
      </c>
      <c r="F45" s="8">
        <v>23711.0</v>
      </c>
      <c r="G45" s="9">
        <v>432.0</v>
      </c>
      <c r="H45" s="6" t="s">
        <v>16</v>
      </c>
      <c r="I45" s="10">
        <f t="shared" si="1"/>
        <v>46</v>
      </c>
      <c r="J45" s="11">
        <f t="shared" si="2"/>
        <v>34108</v>
      </c>
      <c r="K45" s="10">
        <f t="shared" si="3"/>
        <v>2.438488465</v>
      </c>
      <c r="L45" s="10" t="str">
        <f t="shared" si="4"/>
        <v>Within Budget</v>
      </c>
      <c r="M45" s="12" t="str">
        <f t="shared" si="5"/>
        <v>2024, 05</v>
      </c>
      <c r="N45" s="10">
        <f t="shared" si="6"/>
        <v>0.007471592383</v>
      </c>
    </row>
    <row r="46" ht="15.75" customHeight="1">
      <c r="A46" s="6" t="s">
        <v>106</v>
      </c>
      <c r="B46" s="6" t="s">
        <v>107</v>
      </c>
      <c r="C46" s="7">
        <v>45315.0</v>
      </c>
      <c r="D46" s="7">
        <v>45483.0</v>
      </c>
      <c r="E46" s="8">
        <v>44358.0</v>
      </c>
      <c r="F46" s="8">
        <v>71438.0</v>
      </c>
      <c r="G46" s="9">
        <v>1512.0</v>
      </c>
      <c r="H46" s="6" t="s">
        <v>24</v>
      </c>
      <c r="I46" s="10">
        <f t="shared" si="1"/>
        <v>168</v>
      </c>
      <c r="J46" s="11">
        <f t="shared" si="2"/>
        <v>-27080</v>
      </c>
      <c r="K46" s="10">
        <f t="shared" si="3"/>
        <v>0.6209300372</v>
      </c>
      <c r="L46" s="10" t="str">
        <f t="shared" si="4"/>
        <v>Over Budget</v>
      </c>
      <c r="M46" s="12" t="str">
        <f t="shared" si="5"/>
        <v>2024, 07</v>
      </c>
      <c r="N46" s="10">
        <f t="shared" si="6"/>
        <v>0.03408629785</v>
      </c>
    </row>
    <row r="47" ht="15.75" customHeight="1">
      <c r="A47" s="6" t="s">
        <v>108</v>
      </c>
      <c r="B47" s="6" t="s">
        <v>109</v>
      </c>
      <c r="C47" s="7">
        <v>45263.0</v>
      </c>
      <c r="D47" s="7">
        <v>45266.0</v>
      </c>
      <c r="E47" s="8">
        <v>28098.0</v>
      </c>
      <c r="F47" s="8">
        <v>43159.0</v>
      </c>
      <c r="G47" s="9">
        <v>48.0</v>
      </c>
      <c r="H47" s="6" t="s">
        <v>16</v>
      </c>
      <c r="I47" s="10">
        <f t="shared" si="1"/>
        <v>3</v>
      </c>
      <c r="J47" s="11">
        <f t="shared" si="2"/>
        <v>-15061</v>
      </c>
      <c r="K47" s="10">
        <f t="shared" si="3"/>
        <v>0.6510345467</v>
      </c>
      <c r="L47" s="10" t="str">
        <f t="shared" si="4"/>
        <v>Over Budget</v>
      </c>
      <c r="M47" s="12" t="str">
        <f t="shared" si="5"/>
        <v>2023, 12</v>
      </c>
      <c r="N47" s="10">
        <f t="shared" si="6"/>
        <v>0.001708306641</v>
      </c>
    </row>
    <row r="48" ht="15.75" customHeight="1">
      <c r="A48" s="6" t="s">
        <v>110</v>
      </c>
      <c r="B48" s="6" t="s">
        <v>111</v>
      </c>
      <c r="C48" s="7">
        <v>45449.0</v>
      </c>
      <c r="D48" s="7">
        <v>45602.0</v>
      </c>
      <c r="E48" s="8">
        <v>65570.0</v>
      </c>
      <c r="F48" s="8">
        <v>27049.0</v>
      </c>
      <c r="G48" s="9">
        <v>1488.0</v>
      </c>
      <c r="H48" s="6" t="s">
        <v>24</v>
      </c>
      <c r="I48" s="10">
        <f t="shared" si="1"/>
        <v>153</v>
      </c>
      <c r="J48" s="11">
        <f t="shared" si="2"/>
        <v>38521</v>
      </c>
      <c r="K48" s="10">
        <f t="shared" si="3"/>
        <v>2.424119191</v>
      </c>
      <c r="L48" s="10" t="str">
        <f t="shared" si="4"/>
        <v>Within Budget</v>
      </c>
      <c r="M48" s="12" t="str">
        <f t="shared" si="5"/>
        <v>2024, 11</v>
      </c>
      <c r="N48" s="10">
        <f t="shared" si="6"/>
        <v>0.02269330487</v>
      </c>
    </row>
    <row r="49" ht="15.75" customHeight="1">
      <c r="A49" s="6" t="s">
        <v>112</v>
      </c>
      <c r="B49" s="6" t="s">
        <v>113</v>
      </c>
      <c r="C49" s="7">
        <v>44964.0</v>
      </c>
      <c r="D49" s="7">
        <v>45318.0</v>
      </c>
      <c r="E49" s="8">
        <v>31863.0</v>
      </c>
      <c r="F49" s="8">
        <v>76239.0</v>
      </c>
      <c r="G49" s="9">
        <v>2568.0</v>
      </c>
      <c r="H49" s="6" t="s">
        <v>19</v>
      </c>
      <c r="I49" s="10">
        <f t="shared" si="1"/>
        <v>354</v>
      </c>
      <c r="J49" s="11">
        <f t="shared" si="2"/>
        <v>-44376</v>
      </c>
      <c r="K49" s="10">
        <f t="shared" si="3"/>
        <v>0.4179357022</v>
      </c>
      <c r="L49" s="10" t="str">
        <f t="shared" si="4"/>
        <v>Over Budget</v>
      </c>
      <c r="M49" s="12" t="str">
        <f t="shared" si="5"/>
        <v>2024, 01</v>
      </c>
      <c r="N49" s="10">
        <f t="shared" si="6"/>
        <v>0.08059504755</v>
      </c>
    </row>
    <row r="50" ht="15.75" customHeight="1">
      <c r="A50" s="6" t="s">
        <v>114</v>
      </c>
      <c r="B50" s="6" t="s">
        <v>115</v>
      </c>
      <c r="C50" s="7">
        <v>44781.0</v>
      </c>
      <c r="D50" s="7">
        <v>45281.0</v>
      </c>
      <c r="E50" s="8">
        <v>70560.0</v>
      </c>
      <c r="F50" s="8">
        <v>66799.0</v>
      </c>
      <c r="G50" s="9">
        <v>4440.0</v>
      </c>
      <c r="H50" s="6" t="s">
        <v>24</v>
      </c>
      <c r="I50" s="10">
        <f t="shared" si="1"/>
        <v>500</v>
      </c>
      <c r="J50" s="11">
        <f t="shared" si="2"/>
        <v>3761</v>
      </c>
      <c r="K50" s="10">
        <f t="shared" si="3"/>
        <v>1.056303238</v>
      </c>
      <c r="L50" s="10" t="str">
        <f t="shared" si="4"/>
        <v>Within Budget</v>
      </c>
      <c r="M50" s="12" t="str">
        <f t="shared" si="5"/>
        <v>2023, 12</v>
      </c>
      <c r="N50" s="10">
        <f t="shared" si="6"/>
        <v>0.06292517007</v>
      </c>
    </row>
    <row r="51" ht="15.75" customHeight="1">
      <c r="A51" s="6" t="s">
        <v>116</v>
      </c>
      <c r="B51" s="6" t="s">
        <v>117</v>
      </c>
      <c r="C51" s="7">
        <v>45384.0</v>
      </c>
      <c r="D51" s="7">
        <v>45429.0</v>
      </c>
      <c r="E51" s="8">
        <v>48578.0</v>
      </c>
      <c r="F51" s="8">
        <v>18211.0</v>
      </c>
      <c r="G51" s="9">
        <v>384.0</v>
      </c>
      <c r="H51" s="6" t="s">
        <v>16</v>
      </c>
      <c r="I51" s="10">
        <f t="shared" si="1"/>
        <v>45</v>
      </c>
      <c r="J51" s="11">
        <f t="shared" si="2"/>
        <v>30367</v>
      </c>
      <c r="K51" s="10">
        <f t="shared" si="3"/>
        <v>2.667508649</v>
      </c>
      <c r="L51" s="10" t="str">
        <f t="shared" si="4"/>
        <v>Within Budget</v>
      </c>
      <c r="M51" s="12" t="str">
        <f t="shared" si="5"/>
        <v>2024, 05</v>
      </c>
      <c r="N51" s="10">
        <f t="shared" si="6"/>
        <v>0.007904812878</v>
      </c>
    </row>
    <row r="52" ht="15.75" customHeight="1">
      <c r="A52" s="6" t="s">
        <v>118</v>
      </c>
      <c r="B52" s="6" t="s">
        <v>119</v>
      </c>
      <c r="C52" s="7">
        <v>45151.0</v>
      </c>
      <c r="D52" s="7">
        <v>45454.0</v>
      </c>
      <c r="E52" s="8">
        <v>76954.0</v>
      </c>
      <c r="F52" s="8">
        <v>79103.0</v>
      </c>
      <c r="G52" s="9">
        <v>2712.0</v>
      </c>
      <c r="H52" s="6" t="s">
        <v>19</v>
      </c>
      <c r="I52" s="10">
        <f t="shared" si="1"/>
        <v>303</v>
      </c>
      <c r="J52" s="11">
        <f t="shared" si="2"/>
        <v>-2149</v>
      </c>
      <c r="K52" s="10">
        <f t="shared" si="3"/>
        <v>0.9728328888</v>
      </c>
      <c r="L52" s="10" t="str">
        <f t="shared" si="4"/>
        <v>Over Budget</v>
      </c>
      <c r="M52" s="12" t="str">
        <f t="shared" si="5"/>
        <v>2024, 06</v>
      </c>
      <c r="N52" s="10">
        <f t="shared" si="6"/>
        <v>0.03524183278</v>
      </c>
    </row>
    <row r="53" ht="15.75" customHeight="1">
      <c r="A53" s="6" t="s">
        <v>120</v>
      </c>
      <c r="B53" s="6" t="s">
        <v>121</v>
      </c>
      <c r="C53" s="7">
        <v>45248.0</v>
      </c>
      <c r="D53" s="7">
        <v>45461.0</v>
      </c>
      <c r="E53" s="8">
        <v>54061.0</v>
      </c>
      <c r="F53" s="8">
        <v>71261.0</v>
      </c>
      <c r="G53" s="9">
        <v>1944.0</v>
      </c>
      <c r="H53" s="6" t="s">
        <v>24</v>
      </c>
      <c r="I53" s="10">
        <f t="shared" si="1"/>
        <v>213</v>
      </c>
      <c r="J53" s="11">
        <f t="shared" si="2"/>
        <v>-17200</v>
      </c>
      <c r="K53" s="10">
        <f t="shared" si="3"/>
        <v>0.7586337548</v>
      </c>
      <c r="L53" s="10" t="str">
        <f t="shared" si="4"/>
        <v>Over Budget</v>
      </c>
      <c r="M53" s="12" t="str">
        <f t="shared" si="5"/>
        <v>2024, 06</v>
      </c>
      <c r="N53" s="10">
        <f t="shared" si="6"/>
        <v>0.03595937922</v>
      </c>
    </row>
    <row r="54" ht="15.75" customHeight="1">
      <c r="A54" s="6" t="s">
        <v>122</v>
      </c>
      <c r="B54" s="6" t="s">
        <v>123</v>
      </c>
      <c r="C54" s="7">
        <v>45176.0</v>
      </c>
      <c r="D54" s="7">
        <v>45284.0</v>
      </c>
      <c r="E54" s="8">
        <v>30884.0</v>
      </c>
      <c r="F54" s="8">
        <v>52472.0</v>
      </c>
      <c r="G54" s="9">
        <v>888.0</v>
      </c>
      <c r="H54" s="6" t="s">
        <v>24</v>
      </c>
      <c r="I54" s="10">
        <f t="shared" si="1"/>
        <v>108</v>
      </c>
      <c r="J54" s="11">
        <f t="shared" si="2"/>
        <v>-21588</v>
      </c>
      <c r="K54" s="10">
        <f t="shared" si="3"/>
        <v>0.5885805763</v>
      </c>
      <c r="L54" s="10" t="str">
        <f t="shared" si="4"/>
        <v>Over Budget</v>
      </c>
      <c r="M54" s="12" t="str">
        <f t="shared" si="5"/>
        <v>2023, 12</v>
      </c>
      <c r="N54" s="10">
        <f t="shared" si="6"/>
        <v>0.02875275223</v>
      </c>
    </row>
    <row r="55" ht="15.75" customHeight="1">
      <c r="A55" s="6" t="s">
        <v>124</v>
      </c>
      <c r="B55" s="6" t="s">
        <v>125</v>
      </c>
      <c r="C55" s="7">
        <v>45043.0</v>
      </c>
      <c r="D55" s="7">
        <v>45437.0</v>
      </c>
      <c r="E55" s="8">
        <v>18299.0</v>
      </c>
      <c r="F55" s="8">
        <v>58652.0</v>
      </c>
      <c r="G55" s="9">
        <v>2856.0</v>
      </c>
      <c r="H55" s="6" t="s">
        <v>16</v>
      </c>
      <c r="I55" s="10">
        <f t="shared" si="1"/>
        <v>394</v>
      </c>
      <c r="J55" s="11">
        <f t="shared" si="2"/>
        <v>-40353</v>
      </c>
      <c r="K55" s="10">
        <f t="shared" si="3"/>
        <v>0.3119927709</v>
      </c>
      <c r="L55" s="10" t="str">
        <f t="shared" si="4"/>
        <v>Over Budget</v>
      </c>
      <c r="M55" s="12" t="str">
        <f t="shared" si="5"/>
        <v>2024, 05</v>
      </c>
      <c r="N55" s="10">
        <f t="shared" si="6"/>
        <v>0.1560741024</v>
      </c>
    </row>
    <row r="56" ht="15.75" customHeight="1">
      <c r="A56" s="6" t="s">
        <v>126</v>
      </c>
      <c r="B56" s="6" t="s">
        <v>127</v>
      </c>
      <c r="C56" s="7">
        <v>45434.0</v>
      </c>
      <c r="D56" s="7">
        <v>45508.0</v>
      </c>
      <c r="E56" s="8">
        <v>42338.0</v>
      </c>
      <c r="F56" s="8">
        <v>26706.0</v>
      </c>
      <c r="G56" s="9">
        <v>648.0</v>
      </c>
      <c r="H56" s="6" t="s">
        <v>24</v>
      </c>
      <c r="I56" s="10">
        <f t="shared" si="1"/>
        <v>74</v>
      </c>
      <c r="J56" s="11">
        <f t="shared" si="2"/>
        <v>15632</v>
      </c>
      <c r="K56" s="10">
        <f t="shared" si="3"/>
        <v>1.585336628</v>
      </c>
      <c r="L56" s="10" t="str">
        <f t="shared" si="4"/>
        <v>Within Budget</v>
      </c>
      <c r="M56" s="12" t="str">
        <f t="shared" si="5"/>
        <v>2024, 08</v>
      </c>
      <c r="N56" s="10">
        <f t="shared" si="6"/>
        <v>0.0153053994</v>
      </c>
    </row>
    <row r="57" ht="15.75" customHeight="1">
      <c r="A57" s="6" t="s">
        <v>128</v>
      </c>
      <c r="B57" s="6" t="s">
        <v>129</v>
      </c>
      <c r="C57" s="7">
        <v>45340.0</v>
      </c>
      <c r="D57" s="7">
        <v>45393.0</v>
      </c>
      <c r="E57" s="8">
        <v>27593.0</v>
      </c>
      <c r="F57" s="8">
        <v>17573.0</v>
      </c>
      <c r="G57" s="9">
        <v>432.0</v>
      </c>
      <c r="H57" s="6" t="s">
        <v>16</v>
      </c>
      <c r="I57" s="10">
        <f t="shared" si="1"/>
        <v>53</v>
      </c>
      <c r="J57" s="11">
        <f t="shared" si="2"/>
        <v>10020</v>
      </c>
      <c r="K57" s="10">
        <f t="shared" si="3"/>
        <v>1.57019291</v>
      </c>
      <c r="L57" s="10" t="str">
        <f t="shared" si="4"/>
        <v>Within Budget</v>
      </c>
      <c r="M57" s="12" t="str">
        <f t="shared" si="5"/>
        <v>2024, 04</v>
      </c>
      <c r="N57" s="10">
        <f t="shared" si="6"/>
        <v>0.01565614467</v>
      </c>
    </row>
    <row r="58" ht="15.75" customHeight="1">
      <c r="A58" s="6" t="s">
        <v>130</v>
      </c>
      <c r="B58" s="6" t="s">
        <v>131</v>
      </c>
      <c r="C58" s="7">
        <v>45041.0</v>
      </c>
      <c r="D58" s="7">
        <v>45334.0</v>
      </c>
      <c r="E58" s="8">
        <v>9502.0</v>
      </c>
      <c r="F58" s="8">
        <v>10166.0</v>
      </c>
      <c r="G58" s="9">
        <v>2112.0</v>
      </c>
      <c r="H58" s="6" t="s">
        <v>16</v>
      </c>
      <c r="I58" s="10">
        <f t="shared" si="1"/>
        <v>293</v>
      </c>
      <c r="J58" s="11">
        <f t="shared" si="2"/>
        <v>-664</v>
      </c>
      <c r="K58" s="10">
        <f t="shared" si="3"/>
        <v>0.9346842416</v>
      </c>
      <c r="L58" s="10" t="str">
        <f t="shared" si="4"/>
        <v>Over Budget</v>
      </c>
      <c r="M58" s="12" t="str">
        <f t="shared" si="5"/>
        <v>2024, 02</v>
      </c>
      <c r="N58" s="10">
        <f t="shared" si="6"/>
        <v>0.222268996</v>
      </c>
    </row>
    <row r="59" ht="15.75" customHeight="1">
      <c r="A59" s="6" t="s">
        <v>132</v>
      </c>
      <c r="B59" s="6" t="s">
        <v>133</v>
      </c>
      <c r="C59" s="7">
        <v>45055.0</v>
      </c>
      <c r="D59" s="7">
        <v>45406.0</v>
      </c>
      <c r="E59" s="8">
        <v>18094.0</v>
      </c>
      <c r="F59" s="8">
        <v>59408.0</v>
      </c>
      <c r="G59" s="9">
        <v>2448.0</v>
      </c>
      <c r="H59" s="6" t="s">
        <v>24</v>
      </c>
      <c r="I59" s="10">
        <f t="shared" si="1"/>
        <v>351</v>
      </c>
      <c r="J59" s="11">
        <f t="shared" si="2"/>
        <v>-41314</v>
      </c>
      <c r="K59" s="10">
        <f t="shared" si="3"/>
        <v>0.3045717748</v>
      </c>
      <c r="L59" s="10" t="str">
        <f t="shared" si="4"/>
        <v>Over Budget</v>
      </c>
      <c r="M59" s="12" t="str">
        <f t="shared" si="5"/>
        <v>2024, 04</v>
      </c>
      <c r="N59" s="10">
        <f t="shared" si="6"/>
        <v>0.1352934674</v>
      </c>
    </row>
    <row r="60" ht="15.75" customHeight="1">
      <c r="A60" s="6" t="s">
        <v>134</v>
      </c>
      <c r="B60" s="6" t="s">
        <v>135</v>
      </c>
      <c r="C60" s="7">
        <v>45246.0</v>
      </c>
      <c r="D60" s="7">
        <v>45554.0</v>
      </c>
      <c r="E60" s="8">
        <v>30636.0</v>
      </c>
      <c r="F60" s="8">
        <v>2725.0</v>
      </c>
      <c r="G60" s="9">
        <v>2904.0</v>
      </c>
      <c r="H60" s="6" t="s">
        <v>24</v>
      </c>
      <c r="I60" s="10">
        <f t="shared" si="1"/>
        <v>308</v>
      </c>
      <c r="J60" s="11">
        <f t="shared" si="2"/>
        <v>27911</v>
      </c>
      <c r="K60" s="10">
        <f t="shared" si="3"/>
        <v>11.24256881</v>
      </c>
      <c r="L60" s="10" t="str">
        <f t="shared" si="4"/>
        <v>Within Budget</v>
      </c>
      <c r="M60" s="12" t="str">
        <f t="shared" si="5"/>
        <v>2024, 09</v>
      </c>
      <c r="N60" s="10">
        <f t="shared" si="6"/>
        <v>0.09479044262</v>
      </c>
    </row>
    <row r="61" ht="15.75" customHeight="1">
      <c r="A61" s="6" t="s">
        <v>136</v>
      </c>
      <c r="B61" s="6" t="s">
        <v>137</v>
      </c>
      <c r="C61" s="7">
        <v>44815.0</v>
      </c>
      <c r="D61" s="7">
        <v>45410.0</v>
      </c>
      <c r="E61" s="8">
        <v>12695.0</v>
      </c>
      <c r="F61" s="8">
        <v>3582.0</v>
      </c>
      <c r="G61" s="9">
        <v>5592.0</v>
      </c>
      <c r="H61" s="6" t="s">
        <v>24</v>
      </c>
      <c r="I61" s="10">
        <f t="shared" si="1"/>
        <v>595</v>
      </c>
      <c r="J61" s="11">
        <f t="shared" si="2"/>
        <v>9113</v>
      </c>
      <c r="K61" s="10">
        <f t="shared" si="3"/>
        <v>3.544109436</v>
      </c>
      <c r="L61" s="10" t="str">
        <f t="shared" si="4"/>
        <v>Within Budget</v>
      </c>
      <c r="M61" s="12" t="str">
        <f t="shared" si="5"/>
        <v>2024, 04</v>
      </c>
      <c r="N61" s="10">
        <f t="shared" si="6"/>
        <v>0.4404883813</v>
      </c>
    </row>
    <row r="62" ht="15.75" customHeight="1">
      <c r="A62" s="6" t="s">
        <v>138</v>
      </c>
      <c r="B62" s="6" t="s">
        <v>139</v>
      </c>
      <c r="C62" s="7">
        <v>45462.0</v>
      </c>
      <c r="D62" s="7">
        <v>45648.0</v>
      </c>
      <c r="E62" s="8">
        <v>71397.0</v>
      </c>
      <c r="F62" s="8">
        <v>43938.0</v>
      </c>
      <c r="G62" s="9">
        <v>1296.0</v>
      </c>
      <c r="H62" s="6" t="s">
        <v>24</v>
      </c>
      <c r="I62" s="10">
        <f t="shared" si="1"/>
        <v>186</v>
      </c>
      <c r="J62" s="11">
        <f t="shared" si="2"/>
        <v>27459</v>
      </c>
      <c r="K62" s="10">
        <f t="shared" si="3"/>
        <v>1.624948791</v>
      </c>
      <c r="L62" s="10" t="str">
        <f t="shared" si="4"/>
        <v>Within Budget</v>
      </c>
      <c r="M62" s="12" t="str">
        <f t="shared" si="5"/>
        <v>2024, 12</v>
      </c>
      <c r="N62" s="10">
        <f t="shared" si="6"/>
        <v>0.01815202319</v>
      </c>
    </row>
    <row r="63" ht="15.75" customHeight="1">
      <c r="A63" s="6" t="s">
        <v>140</v>
      </c>
      <c r="B63" s="6" t="s">
        <v>141</v>
      </c>
      <c r="C63" s="7">
        <v>45308.0</v>
      </c>
      <c r="D63" s="7">
        <v>45528.0</v>
      </c>
      <c r="E63" s="8">
        <v>35168.0</v>
      </c>
      <c r="F63" s="8">
        <v>23138.0</v>
      </c>
      <c r="G63" s="9">
        <v>2064.0</v>
      </c>
      <c r="H63" s="6" t="s">
        <v>24</v>
      </c>
      <c r="I63" s="10">
        <f t="shared" si="1"/>
        <v>220</v>
      </c>
      <c r="J63" s="11">
        <f t="shared" si="2"/>
        <v>12030</v>
      </c>
      <c r="K63" s="10">
        <f t="shared" si="3"/>
        <v>1.519923935</v>
      </c>
      <c r="L63" s="10" t="str">
        <f t="shared" si="4"/>
        <v>Within Budget</v>
      </c>
      <c r="M63" s="12" t="str">
        <f t="shared" si="5"/>
        <v>2024, 08</v>
      </c>
      <c r="N63" s="10">
        <f t="shared" si="6"/>
        <v>0.05868971793</v>
      </c>
    </row>
    <row r="64" ht="15.75" customHeight="1">
      <c r="A64" s="6" t="s">
        <v>142</v>
      </c>
      <c r="B64" s="6" t="s">
        <v>143</v>
      </c>
      <c r="C64" s="7">
        <v>45176.0</v>
      </c>
      <c r="D64" s="7">
        <v>45321.0</v>
      </c>
      <c r="E64" s="8">
        <v>14567.0</v>
      </c>
      <c r="F64" s="8">
        <v>3190.0</v>
      </c>
      <c r="G64" s="9">
        <v>984.0</v>
      </c>
      <c r="H64" s="6" t="s">
        <v>16</v>
      </c>
      <c r="I64" s="10">
        <f t="shared" si="1"/>
        <v>145</v>
      </c>
      <c r="J64" s="11">
        <f t="shared" si="2"/>
        <v>11377</v>
      </c>
      <c r="K64" s="10">
        <f t="shared" si="3"/>
        <v>4.56645768</v>
      </c>
      <c r="L64" s="10" t="str">
        <f t="shared" si="4"/>
        <v>Within Budget</v>
      </c>
      <c r="M64" s="12" t="str">
        <f t="shared" si="5"/>
        <v>2024, 01</v>
      </c>
      <c r="N64" s="10">
        <f t="shared" si="6"/>
        <v>0.06754994165</v>
      </c>
    </row>
    <row r="65" ht="15.75" customHeight="1">
      <c r="A65" s="6" t="s">
        <v>144</v>
      </c>
      <c r="B65" s="6" t="s">
        <v>145</v>
      </c>
      <c r="C65" s="7">
        <v>44802.0</v>
      </c>
      <c r="D65" s="7">
        <v>45309.0</v>
      </c>
      <c r="E65" s="8">
        <v>20194.0</v>
      </c>
      <c r="F65" s="8">
        <v>55029.0</v>
      </c>
      <c r="G65" s="9">
        <v>3168.0</v>
      </c>
      <c r="H65" s="6" t="s">
        <v>16</v>
      </c>
      <c r="I65" s="10">
        <f t="shared" si="1"/>
        <v>507</v>
      </c>
      <c r="J65" s="11">
        <f t="shared" si="2"/>
        <v>-34835</v>
      </c>
      <c r="K65" s="10">
        <f t="shared" si="3"/>
        <v>0.366970143</v>
      </c>
      <c r="L65" s="10" t="str">
        <f t="shared" si="4"/>
        <v>Over Budget</v>
      </c>
      <c r="M65" s="12" t="str">
        <f t="shared" si="5"/>
        <v>2024, 01</v>
      </c>
      <c r="N65" s="10">
        <f t="shared" si="6"/>
        <v>0.1568782807</v>
      </c>
    </row>
    <row r="66" ht="15.75" customHeight="1">
      <c r="A66" s="6" t="s">
        <v>146</v>
      </c>
      <c r="B66" s="6" t="s">
        <v>147</v>
      </c>
      <c r="C66" s="7">
        <v>44772.0</v>
      </c>
      <c r="D66" s="7">
        <v>45246.0</v>
      </c>
      <c r="E66" s="8">
        <v>75757.0</v>
      </c>
      <c r="F66" s="8">
        <v>7709.0</v>
      </c>
      <c r="G66" s="9">
        <v>3528.0</v>
      </c>
      <c r="H66" s="6" t="s">
        <v>24</v>
      </c>
      <c r="I66" s="10">
        <f t="shared" si="1"/>
        <v>474</v>
      </c>
      <c r="J66" s="11">
        <f t="shared" si="2"/>
        <v>68048</v>
      </c>
      <c r="K66" s="10">
        <f t="shared" si="3"/>
        <v>9.827085225</v>
      </c>
      <c r="L66" s="10" t="str">
        <f t="shared" si="4"/>
        <v>Within Budget</v>
      </c>
      <c r="M66" s="12" t="str">
        <f t="shared" si="5"/>
        <v>2023, 11</v>
      </c>
      <c r="N66" s="10">
        <f t="shared" si="6"/>
        <v>0.04656995393</v>
      </c>
    </row>
    <row r="67" ht="15.75" customHeight="1">
      <c r="A67" s="6" t="s">
        <v>148</v>
      </c>
      <c r="B67" s="6" t="s">
        <v>149</v>
      </c>
      <c r="C67" s="7">
        <v>45206.0</v>
      </c>
      <c r="D67" s="7">
        <v>45355.0</v>
      </c>
      <c r="E67" s="8">
        <v>5496.0</v>
      </c>
      <c r="F67" s="8">
        <v>42931.0</v>
      </c>
      <c r="G67" s="9">
        <v>1128.0</v>
      </c>
      <c r="H67" s="6" t="s">
        <v>24</v>
      </c>
      <c r="I67" s="10">
        <f t="shared" si="1"/>
        <v>149</v>
      </c>
      <c r="J67" s="11">
        <f t="shared" si="2"/>
        <v>-37435</v>
      </c>
      <c r="K67" s="10">
        <f t="shared" si="3"/>
        <v>0.1280193799</v>
      </c>
      <c r="L67" s="10" t="str">
        <f t="shared" si="4"/>
        <v>Over Budget</v>
      </c>
      <c r="M67" s="12" t="str">
        <f t="shared" si="5"/>
        <v>2024, 03</v>
      </c>
      <c r="N67" s="10">
        <f t="shared" si="6"/>
        <v>0.2052401747</v>
      </c>
    </row>
    <row r="68" ht="15.75" customHeight="1">
      <c r="A68" s="6" t="s">
        <v>150</v>
      </c>
      <c r="B68" s="6" t="s">
        <v>151</v>
      </c>
      <c r="C68" s="7">
        <v>45120.0</v>
      </c>
      <c r="D68" s="7">
        <v>45466.0</v>
      </c>
      <c r="E68" s="8">
        <v>86936.0</v>
      </c>
      <c r="F68" s="8">
        <v>69228.0</v>
      </c>
      <c r="G68" s="9">
        <v>2424.0</v>
      </c>
      <c r="H68" s="6" t="s">
        <v>24</v>
      </c>
      <c r="I68" s="10">
        <f t="shared" si="1"/>
        <v>346</v>
      </c>
      <c r="J68" s="11">
        <f t="shared" si="2"/>
        <v>17708</v>
      </c>
      <c r="K68" s="10">
        <f t="shared" si="3"/>
        <v>1.255792454</v>
      </c>
      <c r="L68" s="10" t="str">
        <f t="shared" si="4"/>
        <v>Within Budget</v>
      </c>
      <c r="M68" s="12" t="str">
        <f t="shared" si="5"/>
        <v>2024, 06</v>
      </c>
      <c r="N68" s="10">
        <f t="shared" si="6"/>
        <v>0.02788258029</v>
      </c>
    </row>
    <row r="69" ht="15.75" customHeight="1">
      <c r="A69" s="6" t="s">
        <v>152</v>
      </c>
      <c r="B69" s="6" t="s">
        <v>153</v>
      </c>
      <c r="C69" s="7">
        <v>44987.0</v>
      </c>
      <c r="D69" s="7">
        <v>45242.0</v>
      </c>
      <c r="E69" s="8">
        <v>33879.0</v>
      </c>
      <c r="F69" s="8">
        <v>54359.0</v>
      </c>
      <c r="G69" s="9">
        <v>1776.0</v>
      </c>
      <c r="H69" s="6" t="s">
        <v>24</v>
      </c>
      <c r="I69" s="10">
        <f t="shared" si="1"/>
        <v>255</v>
      </c>
      <c r="J69" s="11">
        <f t="shared" si="2"/>
        <v>-20480</v>
      </c>
      <c r="K69" s="10">
        <f t="shared" si="3"/>
        <v>0.6232454607</v>
      </c>
      <c r="L69" s="10" t="str">
        <f t="shared" si="4"/>
        <v>Over Budget</v>
      </c>
      <c r="M69" s="12" t="str">
        <f t="shared" si="5"/>
        <v>2023, 11</v>
      </c>
      <c r="N69" s="10">
        <f t="shared" si="6"/>
        <v>0.05242185425</v>
      </c>
    </row>
    <row r="70" ht="15.75" customHeight="1">
      <c r="A70" s="6" t="s">
        <v>154</v>
      </c>
      <c r="B70" s="6" t="s">
        <v>155</v>
      </c>
      <c r="C70" s="7">
        <v>44838.0</v>
      </c>
      <c r="D70" s="7">
        <v>45330.0</v>
      </c>
      <c r="E70" s="8">
        <v>89038.0</v>
      </c>
      <c r="F70" s="8">
        <v>55840.0</v>
      </c>
      <c r="G70" s="9">
        <v>3912.0</v>
      </c>
      <c r="H70" s="6" t="s">
        <v>16</v>
      </c>
      <c r="I70" s="10">
        <f t="shared" si="1"/>
        <v>492</v>
      </c>
      <c r="J70" s="11">
        <f t="shared" si="2"/>
        <v>33198</v>
      </c>
      <c r="K70" s="10">
        <f t="shared" si="3"/>
        <v>1.594520057</v>
      </c>
      <c r="L70" s="10" t="str">
        <f t="shared" si="4"/>
        <v>Within Budget</v>
      </c>
      <c r="M70" s="12" t="str">
        <f t="shared" si="5"/>
        <v>2024, 02</v>
      </c>
      <c r="N70" s="10">
        <f t="shared" si="6"/>
        <v>0.04393629686</v>
      </c>
    </row>
    <row r="71" ht="15.75" customHeight="1">
      <c r="A71" s="6" t="s">
        <v>156</v>
      </c>
      <c r="B71" s="6" t="s">
        <v>157</v>
      </c>
      <c r="C71" s="7">
        <v>45382.0</v>
      </c>
      <c r="D71" s="7">
        <v>45640.0</v>
      </c>
      <c r="E71" s="8">
        <v>8419.0</v>
      </c>
      <c r="F71" s="8">
        <v>29066.0</v>
      </c>
      <c r="G71" s="9">
        <v>1992.0</v>
      </c>
      <c r="H71" s="6" t="s">
        <v>16</v>
      </c>
      <c r="I71" s="10">
        <f t="shared" si="1"/>
        <v>258</v>
      </c>
      <c r="J71" s="11">
        <f t="shared" si="2"/>
        <v>-20647</v>
      </c>
      <c r="K71" s="10">
        <f t="shared" si="3"/>
        <v>0.2896511388</v>
      </c>
      <c r="L71" s="10" t="str">
        <f t="shared" si="4"/>
        <v>Over Budget</v>
      </c>
      <c r="M71" s="12" t="str">
        <f t="shared" si="5"/>
        <v>2024, 12</v>
      </c>
      <c r="N71" s="10">
        <f t="shared" si="6"/>
        <v>0.2366076731</v>
      </c>
    </row>
    <row r="72" ht="15.75" customHeight="1">
      <c r="A72" s="6" t="s">
        <v>158</v>
      </c>
      <c r="B72" s="6" t="s">
        <v>159</v>
      </c>
      <c r="C72" s="7">
        <v>45036.0</v>
      </c>
      <c r="D72" s="7">
        <v>45430.0</v>
      </c>
      <c r="E72" s="8">
        <v>55421.0</v>
      </c>
      <c r="F72" s="8">
        <v>13737.0</v>
      </c>
      <c r="G72" s="9">
        <v>2376.0</v>
      </c>
      <c r="H72" s="6" t="s">
        <v>24</v>
      </c>
      <c r="I72" s="10">
        <f t="shared" si="1"/>
        <v>394</v>
      </c>
      <c r="J72" s="11">
        <f t="shared" si="2"/>
        <v>41684</v>
      </c>
      <c r="K72" s="10">
        <f t="shared" si="3"/>
        <v>4.034432554</v>
      </c>
      <c r="L72" s="10" t="str">
        <f t="shared" si="4"/>
        <v>Within Budget</v>
      </c>
      <c r="M72" s="12" t="str">
        <f t="shared" si="5"/>
        <v>2024, 05</v>
      </c>
      <c r="N72" s="10">
        <f t="shared" si="6"/>
        <v>0.04287183559</v>
      </c>
    </row>
    <row r="73" ht="15.75" customHeight="1">
      <c r="A73" s="6" t="s">
        <v>160</v>
      </c>
      <c r="B73" s="6" t="s">
        <v>161</v>
      </c>
      <c r="C73" s="7">
        <v>45238.0</v>
      </c>
      <c r="D73" s="7">
        <v>45266.0</v>
      </c>
      <c r="E73" s="8">
        <v>44249.0</v>
      </c>
      <c r="F73" s="8">
        <v>61617.0</v>
      </c>
      <c r="G73" s="9">
        <v>264.0</v>
      </c>
      <c r="H73" s="6" t="s">
        <v>24</v>
      </c>
      <c r="I73" s="10">
        <f t="shared" si="1"/>
        <v>28</v>
      </c>
      <c r="J73" s="11">
        <f t="shared" si="2"/>
        <v>-17368</v>
      </c>
      <c r="K73" s="10">
        <f t="shared" si="3"/>
        <v>0.7181297369</v>
      </c>
      <c r="L73" s="10" t="str">
        <f t="shared" si="4"/>
        <v>Over Budget</v>
      </c>
      <c r="M73" s="12" t="str">
        <f t="shared" si="5"/>
        <v>2023, 12</v>
      </c>
      <c r="N73" s="10">
        <f t="shared" si="6"/>
        <v>0.005966236525</v>
      </c>
    </row>
    <row r="74" ht="15.75" customHeight="1">
      <c r="A74" s="6" t="s">
        <v>162</v>
      </c>
      <c r="B74" s="6" t="s">
        <v>163</v>
      </c>
      <c r="C74" s="7">
        <v>45360.0</v>
      </c>
      <c r="D74" s="7">
        <v>45438.0</v>
      </c>
      <c r="E74" s="8">
        <v>24859.0</v>
      </c>
      <c r="F74" s="8">
        <v>61362.0</v>
      </c>
      <c r="G74" s="9">
        <v>504.0</v>
      </c>
      <c r="H74" s="6" t="s">
        <v>16</v>
      </c>
      <c r="I74" s="10">
        <f t="shared" si="1"/>
        <v>78</v>
      </c>
      <c r="J74" s="11">
        <f t="shared" si="2"/>
        <v>-36503</v>
      </c>
      <c r="K74" s="10">
        <f t="shared" si="3"/>
        <v>0.4051204328</v>
      </c>
      <c r="L74" s="10" t="str">
        <f t="shared" si="4"/>
        <v>Over Budget</v>
      </c>
      <c r="M74" s="12" t="str">
        <f t="shared" si="5"/>
        <v>2024, 05</v>
      </c>
      <c r="N74" s="10">
        <f t="shared" si="6"/>
        <v>0.02027434732</v>
      </c>
    </row>
    <row r="75" ht="15.75" customHeight="1">
      <c r="A75" s="6" t="s">
        <v>164</v>
      </c>
      <c r="B75" s="6" t="s">
        <v>165</v>
      </c>
      <c r="C75" s="7">
        <v>45030.0</v>
      </c>
      <c r="D75" s="7">
        <v>45461.0</v>
      </c>
      <c r="E75" s="8">
        <v>76721.0</v>
      </c>
      <c r="F75" s="8">
        <v>33042.0</v>
      </c>
      <c r="G75" s="9">
        <v>2904.0</v>
      </c>
      <c r="H75" s="6" t="s">
        <v>24</v>
      </c>
      <c r="I75" s="10">
        <f t="shared" si="1"/>
        <v>431</v>
      </c>
      <c r="J75" s="11">
        <f t="shared" si="2"/>
        <v>43679</v>
      </c>
      <c r="K75" s="10">
        <f t="shared" si="3"/>
        <v>2.321923612</v>
      </c>
      <c r="L75" s="10" t="str">
        <f t="shared" si="4"/>
        <v>Within Budget</v>
      </c>
      <c r="M75" s="12" t="str">
        <f t="shared" si="5"/>
        <v>2024, 06</v>
      </c>
      <c r="N75" s="10">
        <f t="shared" si="6"/>
        <v>0.03785143572</v>
      </c>
    </row>
    <row r="76" ht="15.75" customHeight="1">
      <c r="A76" s="6" t="s">
        <v>166</v>
      </c>
      <c r="B76" s="6" t="s">
        <v>167</v>
      </c>
      <c r="C76" s="7">
        <v>45246.0</v>
      </c>
      <c r="D76" s="7">
        <v>45393.0</v>
      </c>
      <c r="E76" s="8">
        <v>87484.0</v>
      </c>
      <c r="F76" s="8">
        <v>32596.0</v>
      </c>
      <c r="G76" s="9">
        <v>960.0</v>
      </c>
      <c r="H76" s="6" t="s">
        <v>24</v>
      </c>
      <c r="I76" s="10">
        <f t="shared" si="1"/>
        <v>147</v>
      </c>
      <c r="J76" s="11">
        <f t="shared" si="2"/>
        <v>54888</v>
      </c>
      <c r="K76" s="10">
        <f t="shared" si="3"/>
        <v>2.683887594</v>
      </c>
      <c r="L76" s="10" t="str">
        <f t="shared" si="4"/>
        <v>Within Budget</v>
      </c>
      <c r="M76" s="12" t="str">
        <f t="shared" si="5"/>
        <v>2024, 04</v>
      </c>
      <c r="N76" s="10">
        <f t="shared" si="6"/>
        <v>0.01097343514</v>
      </c>
    </row>
    <row r="77" ht="15.75" customHeight="1">
      <c r="A77" s="6" t="s">
        <v>168</v>
      </c>
      <c r="B77" s="6" t="s">
        <v>169</v>
      </c>
      <c r="C77" s="7">
        <v>45336.0</v>
      </c>
      <c r="D77" s="7">
        <v>45399.0</v>
      </c>
      <c r="E77" s="8">
        <v>65834.0</v>
      </c>
      <c r="F77" s="8">
        <v>11121.0</v>
      </c>
      <c r="G77" s="9">
        <v>624.0</v>
      </c>
      <c r="H77" s="6" t="s">
        <v>24</v>
      </c>
      <c r="I77" s="10">
        <f t="shared" si="1"/>
        <v>63</v>
      </c>
      <c r="J77" s="11">
        <f t="shared" si="2"/>
        <v>54713</v>
      </c>
      <c r="K77" s="10">
        <f t="shared" si="3"/>
        <v>5.919791386</v>
      </c>
      <c r="L77" s="10" t="str">
        <f t="shared" si="4"/>
        <v>Within Budget</v>
      </c>
      <c r="M77" s="12" t="str">
        <f t="shared" si="5"/>
        <v>2024, 04</v>
      </c>
      <c r="N77" s="10">
        <f t="shared" si="6"/>
        <v>0.009478385029</v>
      </c>
    </row>
    <row r="78" ht="15.75" customHeight="1">
      <c r="A78" s="6" t="s">
        <v>170</v>
      </c>
      <c r="B78" s="6" t="s">
        <v>171</v>
      </c>
      <c r="C78" s="7">
        <v>44979.0</v>
      </c>
      <c r="D78" s="7">
        <v>45254.0</v>
      </c>
      <c r="E78" s="8">
        <v>4056.0</v>
      </c>
      <c r="F78" s="8">
        <v>42783.0</v>
      </c>
      <c r="G78" s="9">
        <v>1656.0</v>
      </c>
      <c r="H78" s="6" t="s">
        <v>31</v>
      </c>
      <c r="I78" s="10">
        <f t="shared" si="1"/>
        <v>275</v>
      </c>
      <c r="J78" s="11">
        <f t="shared" si="2"/>
        <v>-38727</v>
      </c>
      <c r="K78" s="10">
        <f t="shared" si="3"/>
        <v>0.09480401094</v>
      </c>
      <c r="L78" s="10" t="str">
        <f t="shared" si="4"/>
        <v>Over Budget</v>
      </c>
      <c r="M78" s="12" t="str">
        <f t="shared" si="5"/>
        <v>2023, 11</v>
      </c>
      <c r="N78" s="10">
        <f t="shared" si="6"/>
        <v>0.4082840237</v>
      </c>
    </row>
    <row r="79" ht="15.75" customHeight="1">
      <c r="A79" s="6" t="s">
        <v>172</v>
      </c>
      <c r="B79" s="6" t="s">
        <v>173</v>
      </c>
      <c r="C79" s="7">
        <v>45244.0</v>
      </c>
      <c r="D79" s="7">
        <v>45334.0</v>
      </c>
      <c r="E79" s="8">
        <v>36965.0</v>
      </c>
      <c r="F79" s="8">
        <v>12563.0</v>
      </c>
      <c r="G79" s="9">
        <v>768.0</v>
      </c>
      <c r="H79" s="6" t="s">
        <v>16</v>
      </c>
      <c r="I79" s="10">
        <f t="shared" si="1"/>
        <v>90</v>
      </c>
      <c r="J79" s="11">
        <f t="shared" si="2"/>
        <v>24402</v>
      </c>
      <c r="K79" s="10">
        <f t="shared" si="3"/>
        <v>2.942370453</v>
      </c>
      <c r="L79" s="10" t="str">
        <f t="shared" si="4"/>
        <v>Within Budget</v>
      </c>
      <c r="M79" s="12" t="str">
        <f t="shared" si="5"/>
        <v>2024, 02</v>
      </c>
      <c r="N79" s="10">
        <f t="shared" si="6"/>
        <v>0.02077641012</v>
      </c>
    </row>
    <row r="80" ht="15.75" customHeight="1">
      <c r="A80" s="6" t="s">
        <v>174</v>
      </c>
      <c r="B80" s="6" t="s">
        <v>175</v>
      </c>
      <c r="C80" s="7">
        <v>45014.0</v>
      </c>
      <c r="D80" s="7">
        <v>45258.0</v>
      </c>
      <c r="E80" s="8">
        <v>69831.0</v>
      </c>
      <c r="F80" s="8">
        <v>39307.0</v>
      </c>
      <c r="G80" s="9">
        <v>1824.0</v>
      </c>
      <c r="H80" s="6" t="s">
        <v>24</v>
      </c>
      <c r="I80" s="10">
        <f t="shared" si="1"/>
        <v>244</v>
      </c>
      <c r="J80" s="11">
        <f t="shared" si="2"/>
        <v>30524</v>
      </c>
      <c r="K80" s="10">
        <f t="shared" si="3"/>
        <v>1.776553794</v>
      </c>
      <c r="L80" s="10" t="str">
        <f t="shared" si="4"/>
        <v>Within Budget</v>
      </c>
      <c r="M80" s="12" t="str">
        <f t="shared" si="5"/>
        <v>2023, 11</v>
      </c>
      <c r="N80" s="10">
        <f t="shared" si="6"/>
        <v>0.02612020449</v>
      </c>
    </row>
    <row r="81" ht="15.75" customHeight="1">
      <c r="A81" s="6" t="s">
        <v>176</v>
      </c>
      <c r="B81" s="6" t="s">
        <v>177</v>
      </c>
      <c r="C81" s="7">
        <v>45414.0</v>
      </c>
      <c r="D81" s="7">
        <v>45464.0</v>
      </c>
      <c r="E81" s="8">
        <v>12206.0</v>
      </c>
      <c r="F81" s="8">
        <v>21738.0</v>
      </c>
      <c r="G81" s="9">
        <v>432.0</v>
      </c>
      <c r="H81" s="6" t="s">
        <v>16</v>
      </c>
      <c r="I81" s="10">
        <f t="shared" si="1"/>
        <v>50</v>
      </c>
      <c r="J81" s="11">
        <f t="shared" si="2"/>
        <v>-9532</v>
      </c>
      <c r="K81" s="10">
        <f t="shared" si="3"/>
        <v>0.5615051983</v>
      </c>
      <c r="L81" s="10" t="str">
        <f t="shared" si="4"/>
        <v>Over Budget</v>
      </c>
      <c r="M81" s="12" t="str">
        <f t="shared" si="5"/>
        <v>2024, 06</v>
      </c>
      <c r="N81" s="10">
        <f t="shared" si="6"/>
        <v>0.03539242995</v>
      </c>
    </row>
    <row r="82" ht="15.75" customHeight="1">
      <c r="A82" s="6" t="s">
        <v>178</v>
      </c>
      <c r="B82" s="6" t="s">
        <v>179</v>
      </c>
      <c r="C82" s="7">
        <v>44961.0</v>
      </c>
      <c r="D82" s="7">
        <v>45253.0</v>
      </c>
      <c r="E82" s="8">
        <v>67826.0</v>
      </c>
      <c r="F82" s="8">
        <v>49414.0</v>
      </c>
      <c r="G82" s="9">
        <v>2736.0</v>
      </c>
      <c r="H82" s="6" t="s">
        <v>16</v>
      </c>
      <c r="I82" s="10">
        <f t="shared" si="1"/>
        <v>292</v>
      </c>
      <c r="J82" s="11">
        <f t="shared" si="2"/>
        <v>18412</v>
      </c>
      <c r="K82" s="10">
        <f t="shared" si="3"/>
        <v>1.372606953</v>
      </c>
      <c r="L82" s="10" t="str">
        <f t="shared" si="4"/>
        <v>Within Budget</v>
      </c>
      <c r="M82" s="12" t="str">
        <f t="shared" si="5"/>
        <v>2023, 11</v>
      </c>
      <c r="N82" s="10">
        <f t="shared" si="6"/>
        <v>0.04033851325</v>
      </c>
    </row>
    <row r="83" ht="15.75" customHeight="1">
      <c r="A83" s="6" t="s">
        <v>180</v>
      </c>
      <c r="B83" s="6" t="s">
        <v>181</v>
      </c>
      <c r="C83" s="7">
        <v>45358.0</v>
      </c>
      <c r="D83" s="7">
        <v>45642.0</v>
      </c>
      <c r="E83" s="8">
        <v>9210.0</v>
      </c>
      <c r="F83" s="8">
        <v>37986.0</v>
      </c>
      <c r="G83" s="9">
        <v>2064.0</v>
      </c>
      <c r="H83" s="6" t="s">
        <v>24</v>
      </c>
      <c r="I83" s="10">
        <f t="shared" si="1"/>
        <v>284</v>
      </c>
      <c r="J83" s="11">
        <f t="shared" si="2"/>
        <v>-28776</v>
      </c>
      <c r="K83" s="10">
        <f t="shared" si="3"/>
        <v>0.2424577476</v>
      </c>
      <c r="L83" s="10" t="str">
        <f t="shared" si="4"/>
        <v>Over Budget</v>
      </c>
      <c r="M83" s="12" t="str">
        <f t="shared" si="5"/>
        <v>2024, 12</v>
      </c>
      <c r="N83" s="10">
        <f t="shared" si="6"/>
        <v>0.2241042345</v>
      </c>
    </row>
    <row r="84" ht="15.75" customHeight="1">
      <c r="A84" s="6" t="s">
        <v>182</v>
      </c>
      <c r="B84" s="6" t="s">
        <v>183</v>
      </c>
      <c r="C84" s="7">
        <v>45387.0</v>
      </c>
      <c r="D84" s="7">
        <v>45440.0</v>
      </c>
      <c r="E84" s="8">
        <v>95538.0</v>
      </c>
      <c r="F84" s="8">
        <v>79157.0</v>
      </c>
      <c r="G84" s="9">
        <v>432.0</v>
      </c>
      <c r="H84" s="6" t="s">
        <v>16</v>
      </c>
      <c r="I84" s="10">
        <f t="shared" si="1"/>
        <v>53</v>
      </c>
      <c r="J84" s="11">
        <f t="shared" si="2"/>
        <v>16381</v>
      </c>
      <c r="K84" s="10">
        <f t="shared" si="3"/>
        <v>1.206943164</v>
      </c>
      <c r="L84" s="10" t="str">
        <f t="shared" si="4"/>
        <v>Within Budget</v>
      </c>
      <c r="M84" s="12" t="str">
        <f t="shared" si="5"/>
        <v>2024, 05</v>
      </c>
      <c r="N84" s="10">
        <f t="shared" si="6"/>
        <v>0.004521760975</v>
      </c>
    </row>
    <row r="85" ht="15.75" customHeight="1">
      <c r="A85" s="6" t="s">
        <v>184</v>
      </c>
      <c r="B85" s="6" t="s">
        <v>185</v>
      </c>
      <c r="C85" s="7">
        <v>44810.0</v>
      </c>
      <c r="D85" s="7">
        <v>45336.0</v>
      </c>
      <c r="E85" s="8">
        <v>66359.0</v>
      </c>
      <c r="F85" s="8">
        <v>3128.0</v>
      </c>
      <c r="G85" s="9">
        <v>3168.0</v>
      </c>
      <c r="H85" s="6" t="s">
        <v>16</v>
      </c>
      <c r="I85" s="10">
        <f t="shared" si="1"/>
        <v>526</v>
      </c>
      <c r="J85" s="11">
        <f t="shared" si="2"/>
        <v>63231</v>
      </c>
      <c r="K85" s="10">
        <f t="shared" si="3"/>
        <v>21.21451407</v>
      </c>
      <c r="L85" s="10" t="str">
        <f t="shared" si="4"/>
        <v>Within Budget</v>
      </c>
      <c r="M85" s="12" t="str">
        <f t="shared" si="5"/>
        <v>2024, 02</v>
      </c>
      <c r="N85" s="10">
        <f t="shared" si="6"/>
        <v>0.04774032158</v>
      </c>
    </row>
    <row r="86" ht="15.75" customHeight="1">
      <c r="A86" s="6" t="s">
        <v>186</v>
      </c>
      <c r="B86" s="6" t="s">
        <v>187</v>
      </c>
      <c r="C86" s="7">
        <v>45382.0</v>
      </c>
      <c r="D86" s="7">
        <v>45558.0</v>
      </c>
      <c r="E86" s="8">
        <v>17480.0</v>
      </c>
      <c r="F86" s="8">
        <v>29276.0</v>
      </c>
      <c r="G86" s="9">
        <v>1200.0</v>
      </c>
      <c r="H86" s="6" t="s">
        <v>24</v>
      </c>
      <c r="I86" s="10">
        <f t="shared" si="1"/>
        <v>176</v>
      </c>
      <c r="J86" s="11">
        <f t="shared" si="2"/>
        <v>-11796</v>
      </c>
      <c r="K86" s="10">
        <f t="shared" si="3"/>
        <v>0.5970761033</v>
      </c>
      <c r="L86" s="10" t="str">
        <f t="shared" si="4"/>
        <v>Over Budget</v>
      </c>
      <c r="M86" s="12" t="str">
        <f t="shared" si="5"/>
        <v>2024, 09</v>
      </c>
      <c r="N86" s="10">
        <f t="shared" si="6"/>
        <v>0.06864988558</v>
      </c>
    </row>
    <row r="87" ht="15.75" customHeight="1">
      <c r="A87" s="6" t="s">
        <v>188</v>
      </c>
      <c r="B87" s="6" t="s">
        <v>189</v>
      </c>
      <c r="C87" s="7">
        <v>44941.0</v>
      </c>
      <c r="D87" s="7">
        <v>45342.0</v>
      </c>
      <c r="E87" s="8">
        <v>97818.0</v>
      </c>
      <c r="F87" s="8">
        <v>3331.0</v>
      </c>
      <c r="G87" s="9">
        <v>3768.0</v>
      </c>
      <c r="H87" s="6" t="s">
        <v>16</v>
      </c>
      <c r="I87" s="10">
        <f t="shared" si="1"/>
        <v>401</v>
      </c>
      <c r="J87" s="11">
        <f t="shared" si="2"/>
        <v>94487</v>
      </c>
      <c r="K87" s="10">
        <f t="shared" si="3"/>
        <v>29.36595617</v>
      </c>
      <c r="L87" s="10" t="str">
        <f t="shared" si="4"/>
        <v>Within Budget</v>
      </c>
      <c r="M87" s="12" t="str">
        <f t="shared" si="5"/>
        <v>2024, 02</v>
      </c>
      <c r="N87" s="10">
        <f t="shared" si="6"/>
        <v>0.0385205177</v>
      </c>
    </row>
    <row r="88" ht="15.75" customHeight="1">
      <c r="A88" s="6" t="s">
        <v>190</v>
      </c>
      <c r="B88" s="6" t="s">
        <v>191</v>
      </c>
      <c r="C88" s="7">
        <v>44889.0</v>
      </c>
      <c r="D88" s="7">
        <v>45341.0</v>
      </c>
      <c r="E88" s="8">
        <v>89885.0</v>
      </c>
      <c r="F88" s="8">
        <v>50731.0</v>
      </c>
      <c r="G88" s="9">
        <v>3264.0</v>
      </c>
      <c r="H88" s="6" t="s">
        <v>24</v>
      </c>
      <c r="I88" s="10">
        <f t="shared" si="1"/>
        <v>452</v>
      </c>
      <c r="J88" s="11">
        <f t="shared" si="2"/>
        <v>39154</v>
      </c>
      <c r="K88" s="10">
        <f t="shared" si="3"/>
        <v>1.771796338</v>
      </c>
      <c r="L88" s="10" t="str">
        <f t="shared" si="4"/>
        <v>Within Budget</v>
      </c>
      <c r="M88" s="12" t="str">
        <f t="shared" si="5"/>
        <v>2024, 02</v>
      </c>
      <c r="N88" s="10">
        <f t="shared" si="6"/>
        <v>0.0363130667</v>
      </c>
    </row>
    <row r="89" ht="15.75" customHeight="1">
      <c r="A89" s="6" t="s">
        <v>192</v>
      </c>
      <c r="B89" s="6" t="s">
        <v>193</v>
      </c>
      <c r="C89" s="7">
        <v>45269.0</v>
      </c>
      <c r="D89" s="7">
        <v>45398.0</v>
      </c>
      <c r="E89" s="8">
        <v>32261.0</v>
      </c>
      <c r="F89" s="8">
        <v>74335.0</v>
      </c>
      <c r="G89" s="9">
        <v>1152.0</v>
      </c>
      <c r="H89" s="6" t="s">
        <v>24</v>
      </c>
      <c r="I89" s="10">
        <f t="shared" si="1"/>
        <v>129</v>
      </c>
      <c r="J89" s="11">
        <f t="shared" si="2"/>
        <v>-42074</v>
      </c>
      <c r="K89" s="10">
        <f t="shared" si="3"/>
        <v>0.4339947535</v>
      </c>
      <c r="L89" s="10" t="str">
        <f t="shared" si="4"/>
        <v>Over Budget</v>
      </c>
      <c r="M89" s="12" t="str">
        <f t="shared" si="5"/>
        <v>2024, 04</v>
      </c>
      <c r="N89" s="10">
        <f t="shared" si="6"/>
        <v>0.0357087505</v>
      </c>
    </row>
    <row r="90" ht="15.75" customHeight="1">
      <c r="A90" s="6" t="s">
        <v>194</v>
      </c>
      <c r="B90" s="6" t="s">
        <v>195</v>
      </c>
      <c r="C90" s="7">
        <v>45116.0</v>
      </c>
      <c r="D90" s="7">
        <v>45471.0</v>
      </c>
      <c r="E90" s="8">
        <v>40878.0</v>
      </c>
      <c r="F90" s="8">
        <v>56111.0</v>
      </c>
      <c r="G90" s="9">
        <v>3408.0</v>
      </c>
      <c r="H90" s="6" t="s">
        <v>16</v>
      </c>
      <c r="I90" s="10">
        <f t="shared" si="1"/>
        <v>355</v>
      </c>
      <c r="J90" s="11">
        <f t="shared" si="2"/>
        <v>-15233</v>
      </c>
      <c r="K90" s="10">
        <f t="shared" si="3"/>
        <v>0.7285202545</v>
      </c>
      <c r="L90" s="10" t="str">
        <f t="shared" si="4"/>
        <v>Over Budget</v>
      </c>
      <c r="M90" s="12" t="str">
        <f t="shared" si="5"/>
        <v>2024, 06</v>
      </c>
      <c r="N90" s="10">
        <f t="shared" si="6"/>
        <v>0.08337002789</v>
      </c>
    </row>
    <row r="91" ht="15.75" customHeight="1">
      <c r="A91" s="6" t="s">
        <v>196</v>
      </c>
      <c r="B91" s="6" t="s">
        <v>197</v>
      </c>
      <c r="C91" s="7">
        <v>45394.0</v>
      </c>
      <c r="D91" s="7">
        <v>45519.0</v>
      </c>
      <c r="E91" s="8">
        <v>80837.0</v>
      </c>
      <c r="F91" s="8">
        <v>7721.0</v>
      </c>
      <c r="G91" s="9">
        <v>792.0</v>
      </c>
      <c r="H91" s="6" t="s">
        <v>24</v>
      </c>
      <c r="I91" s="10">
        <f t="shared" si="1"/>
        <v>125</v>
      </c>
      <c r="J91" s="11">
        <f t="shared" si="2"/>
        <v>73116</v>
      </c>
      <c r="K91" s="10">
        <f t="shared" si="3"/>
        <v>10.4697578</v>
      </c>
      <c r="L91" s="10" t="str">
        <f t="shared" si="4"/>
        <v>Within Budget</v>
      </c>
      <c r="M91" s="12" t="str">
        <f t="shared" si="5"/>
        <v>2024, 08</v>
      </c>
      <c r="N91" s="10">
        <f t="shared" si="6"/>
        <v>0.009797493722</v>
      </c>
    </row>
    <row r="92" ht="15.75" customHeight="1">
      <c r="A92" s="6" t="s">
        <v>198</v>
      </c>
      <c r="B92" s="6" t="s">
        <v>199</v>
      </c>
      <c r="C92" s="7">
        <v>44799.0</v>
      </c>
      <c r="D92" s="7">
        <v>45379.0</v>
      </c>
      <c r="E92" s="8">
        <v>77278.0</v>
      </c>
      <c r="F92" s="8">
        <v>53303.0</v>
      </c>
      <c r="G92" s="9">
        <v>5448.0</v>
      </c>
      <c r="H92" s="6" t="s">
        <v>24</v>
      </c>
      <c r="I92" s="10">
        <f t="shared" si="1"/>
        <v>580</v>
      </c>
      <c r="J92" s="11">
        <f t="shared" si="2"/>
        <v>23975</v>
      </c>
      <c r="K92" s="10">
        <f t="shared" si="3"/>
        <v>1.449787066</v>
      </c>
      <c r="L92" s="10" t="str">
        <f t="shared" si="4"/>
        <v>Within Budget</v>
      </c>
      <c r="M92" s="12" t="str">
        <f t="shared" si="5"/>
        <v>2024, 03</v>
      </c>
      <c r="N92" s="10">
        <f t="shared" si="6"/>
        <v>0.07049871891</v>
      </c>
    </row>
    <row r="93" ht="15.75" customHeight="1">
      <c r="A93" s="6" t="s">
        <v>200</v>
      </c>
      <c r="B93" s="6" t="s">
        <v>201</v>
      </c>
      <c r="C93" s="7">
        <v>45348.0</v>
      </c>
      <c r="D93" s="7">
        <v>45633.0</v>
      </c>
      <c r="E93" s="8">
        <v>98484.0</v>
      </c>
      <c r="F93" s="8">
        <v>43115.0</v>
      </c>
      <c r="G93" s="9">
        <v>2736.0</v>
      </c>
      <c r="H93" s="6" t="s">
        <v>16</v>
      </c>
      <c r="I93" s="10">
        <f t="shared" si="1"/>
        <v>285</v>
      </c>
      <c r="J93" s="11">
        <f t="shared" si="2"/>
        <v>55369</v>
      </c>
      <c r="K93" s="10">
        <f t="shared" si="3"/>
        <v>2.28421663</v>
      </c>
      <c r="L93" s="10" t="str">
        <f t="shared" si="4"/>
        <v>Within Budget</v>
      </c>
      <c r="M93" s="12" t="str">
        <f t="shared" si="5"/>
        <v>2024, 12</v>
      </c>
      <c r="N93" s="10">
        <f t="shared" si="6"/>
        <v>0.02778116242</v>
      </c>
    </row>
    <row r="94" ht="15.75" customHeight="1">
      <c r="A94" s="6" t="s">
        <v>202</v>
      </c>
      <c r="B94" s="6" t="s">
        <v>203</v>
      </c>
      <c r="C94" s="7">
        <v>44956.0</v>
      </c>
      <c r="D94" s="7">
        <v>45244.0</v>
      </c>
      <c r="E94" s="8">
        <v>77006.0</v>
      </c>
      <c r="F94" s="8">
        <v>22910.0</v>
      </c>
      <c r="G94" s="9">
        <v>1728.0</v>
      </c>
      <c r="H94" s="6" t="s">
        <v>24</v>
      </c>
      <c r="I94" s="10">
        <f t="shared" si="1"/>
        <v>288</v>
      </c>
      <c r="J94" s="11">
        <f t="shared" si="2"/>
        <v>54096</v>
      </c>
      <c r="K94" s="10">
        <f t="shared" si="3"/>
        <v>3.361239633</v>
      </c>
      <c r="L94" s="10" t="str">
        <f t="shared" si="4"/>
        <v>Within Budget</v>
      </c>
      <c r="M94" s="12" t="str">
        <f t="shared" si="5"/>
        <v>2023, 11</v>
      </c>
      <c r="N94" s="10">
        <f t="shared" si="6"/>
        <v>0.02243980988</v>
      </c>
    </row>
    <row r="95" ht="15.75" customHeight="1">
      <c r="A95" s="6" t="s">
        <v>204</v>
      </c>
      <c r="B95" s="6" t="s">
        <v>205</v>
      </c>
      <c r="C95" s="7">
        <v>45302.0</v>
      </c>
      <c r="D95" s="7">
        <v>45377.0</v>
      </c>
      <c r="E95" s="8">
        <v>17727.0</v>
      </c>
      <c r="F95" s="8">
        <v>40745.0</v>
      </c>
      <c r="G95" s="9">
        <v>624.0</v>
      </c>
      <c r="H95" s="6" t="s">
        <v>24</v>
      </c>
      <c r="I95" s="10">
        <f t="shared" si="1"/>
        <v>75</v>
      </c>
      <c r="J95" s="11">
        <f t="shared" si="2"/>
        <v>-23018</v>
      </c>
      <c r="K95" s="10">
        <f t="shared" si="3"/>
        <v>0.4350717879</v>
      </c>
      <c r="L95" s="10" t="str">
        <f t="shared" si="4"/>
        <v>Over Budget</v>
      </c>
      <c r="M95" s="12" t="str">
        <f t="shared" si="5"/>
        <v>2024, 03</v>
      </c>
      <c r="N95" s="10">
        <f t="shared" si="6"/>
        <v>0.03520054155</v>
      </c>
    </row>
    <row r="96" ht="15.75" customHeight="1">
      <c r="A96" s="6" t="s">
        <v>206</v>
      </c>
      <c r="B96" s="6" t="s">
        <v>207</v>
      </c>
      <c r="C96" s="7">
        <v>45014.0</v>
      </c>
      <c r="D96" s="7">
        <v>45432.0</v>
      </c>
      <c r="E96" s="8">
        <v>57550.0</v>
      </c>
      <c r="F96" s="8">
        <v>2173.0</v>
      </c>
      <c r="G96" s="9">
        <v>2712.0</v>
      </c>
      <c r="H96" s="6" t="s">
        <v>16</v>
      </c>
      <c r="I96" s="10">
        <f t="shared" si="1"/>
        <v>418</v>
      </c>
      <c r="J96" s="11">
        <f t="shared" si="2"/>
        <v>55377</v>
      </c>
      <c r="K96" s="10">
        <f t="shared" si="3"/>
        <v>26.48412333</v>
      </c>
      <c r="L96" s="10" t="str">
        <f t="shared" si="4"/>
        <v>Within Budget</v>
      </c>
      <c r="M96" s="12" t="str">
        <f t="shared" si="5"/>
        <v>2024, 05</v>
      </c>
      <c r="N96" s="10">
        <f t="shared" si="6"/>
        <v>0.04712423979</v>
      </c>
    </row>
    <row r="97" ht="15.75" customHeight="1">
      <c r="A97" s="6" t="s">
        <v>208</v>
      </c>
      <c r="B97" s="6" t="s">
        <v>209</v>
      </c>
      <c r="C97" s="7">
        <v>45177.0</v>
      </c>
      <c r="D97" s="7">
        <v>45356.0</v>
      </c>
      <c r="E97" s="8">
        <v>25938.0</v>
      </c>
      <c r="F97" s="8">
        <v>57681.0</v>
      </c>
      <c r="G97" s="9">
        <v>1080.0</v>
      </c>
      <c r="H97" s="6" t="s">
        <v>24</v>
      </c>
      <c r="I97" s="10">
        <f t="shared" si="1"/>
        <v>179</v>
      </c>
      <c r="J97" s="11">
        <f t="shared" si="2"/>
        <v>-31743</v>
      </c>
      <c r="K97" s="10">
        <f t="shared" si="3"/>
        <v>0.4496801373</v>
      </c>
      <c r="L97" s="10" t="str">
        <f t="shared" si="4"/>
        <v>Over Budget</v>
      </c>
      <c r="M97" s="12" t="str">
        <f t="shared" si="5"/>
        <v>2024, 03</v>
      </c>
      <c r="N97" s="10">
        <f t="shared" si="6"/>
        <v>0.04163775156</v>
      </c>
    </row>
    <row r="98" ht="15.75" customHeight="1">
      <c r="A98" s="6" t="s">
        <v>210</v>
      </c>
      <c r="B98" s="6" t="s">
        <v>211</v>
      </c>
      <c r="C98" s="7">
        <v>45471.0</v>
      </c>
      <c r="D98" s="7">
        <v>45563.0</v>
      </c>
      <c r="E98" s="8">
        <v>26488.0</v>
      </c>
      <c r="F98" s="8">
        <v>37251.0</v>
      </c>
      <c r="G98" s="9">
        <v>672.0</v>
      </c>
      <c r="H98" s="6" t="s">
        <v>24</v>
      </c>
      <c r="I98" s="10">
        <f t="shared" si="1"/>
        <v>92</v>
      </c>
      <c r="J98" s="11">
        <f t="shared" si="2"/>
        <v>-10763</v>
      </c>
      <c r="K98" s="10">
        <f t="shared" si="3"/>
        <v>0.7110681592</v>
      </c>
      <c r="L98" s="10" t="str">
        <f t="shared" si="4"/>
        <v>Over Budget</v>
      </c>
      <c r="M98" s="12" t="str">
        <f t="shared" si="5"/>
        <v>2024, 09</v>
      </c>
      <c r="N98" s="10">
        <f t="shared" si="6"/>
        <v>0.02536997886</v>
      </c>
    </row>
    <row r="99" ht="15.75" customHeight="1">
      <c r="A99" s="6" t="s">
        <v>212</v>
      </c>
      <c r="B99" s="6" t="s">
        <v>213</v>
      </c>
      <c r="C99" s="7">
        <v>45390.0</v>
      </c>
      <c r="D99" s="7">
        <v>45569.0</v>
      </c>
      <c r="E99" s="8">
        <v>23589.0</v>
      </c>
      <c r="F99" s="8">
        <v>27461.0</v>
      </c>
      <c r="G99" s="9">
        <v>1512.0</v>
      </c>
      <c r="H99" s="6" t="s">
        <v>19</v>
      </c>
      <c r="I99" s="10">
        <f t="shared" si="1"/>
        <v>179</v>
      </c>
      <c r="J99" s="11">
        <f t="shared" si="2"/>
        <v>-3872</v>
      </c>
      <c r="K99" s="10">
        <f t="shared" si="3"/>
        <v>0.8590000364</v>
      </c>
      <c r="L99" s="10" t="str">
        <f t="shared" si="4"/>
        <v>Over Budget</v>
      </c>
      <c r="M99" s="12" t="str">
        <f t="shared" si="5"/>
        <v>2024, 10</v>
      </c>
      <c r="N99" s="10">
        <f t="shared" si="6"/>
        <v>0.06409767264</v>
      </c>
    </row>
    <row r="100" ht="15.75" customHeight="1">
      <c r="A100" s="6" t="s">
        <v>214</v>
      </c>
      <c r="B100" s="6" t="s">
        <v>215</v>
      </c>
      <c r="C100" s="7">
        <v>45330.0</v>
      </c>
      <c r="D100" s="7">
        <v>45338.0</v>
      </c>
      <c r="E100" s="8">
        <v>32094.0</v>
      </c>
      <c r="F100" s="8">
        <v>69110.0</v>
      </c>
      <c r="G100" s="9">
        <v>72.0</v>
      </c>
      <c r="H100" s="6" t="s">
        <v>24</v>
      </c>
      <c r="I100" s="10">
        <f t="shared" si="1"/>
        <v>8</v>
      </c>
      <c r="J100" s="11">
        <f t="shared" si="2"/>
        <v>-37016</v>
      </c>
      <c r="K100" s="10">
        <f t="shared" si="3"/>
        <v>0.4643901027</v>
      </c>
      <c r="L100" s="10" t="str">
        <f t="shared" si="4"/>
        <v>Over Budget</v>
      </c>
      <c r="M100" s="12" t="str">
        <f t="shared" si="5"/>
        <v>2024, 02</v>
      </c>
      <c r="N100" s="10">
        <f t="shared" si="6"/>
        <v>0.002243409983</v>
      </c>
    </row>
    <row r="101" ht="15.75" customHeight="1">
      <c r="A101" s="6" t="s">
        <v>216</v>
      </c>
      <c r="B101" s="6" t="s">
        <v>217</v>
      </c>
      <c r="C101" s="7">
        <v>45049.0</v>
      </c>
      <c r="D101" s="7">
        <v>45375.0</v>
      </c>
      <c r="E101" s="8">
        <v>16710.0</v>
      </c>
      <c r="F101" s="8">
        <v>18362.0</v>
      </c>
      <c r="G101" s="9">
        <v>2352.0</v>
      </c>
      <c r="H101" s="6" t="s">
        <v>16</v>
      </c>
      <c r="I101" s="10">
        <f t="shared" si="1"/>
        <v>326</v>
      </c>
      <c r="J101" s="11">
        <f t="shared" si="2"/>
        <v>-1652</v>
      </c>
      <c r="K101" s="10">
        <f t="shared" si="3"/>
        <v>0.910031587</v>
      </c>
      <c r="L101" s="10" t="str">
        <f t="shared" si="4"/>
        <v>Over Budget</v>
      </c>
      <c r="M101" s="12" t="str">
        <f t="shared" si="5"/>
        <v>2024, 03</v>
      </c>
      <c r="N101" s="10">
        <f t="shared" si="6"/>
        <v>0.1407540395</v>
      </c>
    </row>
    <row r="102" ht="15.75" customHeight="1">
      <c r="C102" s="13"/>
      <c r="D102" s="13"/>
      <c r="E102" s="14"/>
      <c r="F102" s="14"/>
    </row>
    <row r="103" ht="15.75" customHeight="1">
      <c r="C103" s="13"/>
      <c r="D103" s="13"/>
      <c r="E103" s="14"/>
      <c r="F103" s="14"/>
    </row>
    <row r="104" ht="15.75" customHeight="1">
      <c r="C104" s="13"/>
      <c r="D104" s="13"/>
      <c r="E104" s="14"/>
      <c r="F104" s="14"/>
    </row>
    <row r="105" ht="15.75" customHeight="1">
      <c r="C105" s="13"/>
      <c r="D105" s="13"/>
      <c r="E105" s="14"/>
      <c r="F105" s="14"/>
    </row>
    <row r="106" ht="15.75" customHeight="1">
      <c r="C106" s="13"/>
      <c r="D106" s="13"/>
      <c r="E106" s="14"/>
      <c r="F106" s="14"/>
    </row>
    <row r="107" ht="15.75" customHeight="1">
      <c r="C107" s="13"/>
      <c r="D107" s="13"/>
      <c r="E107" s="14"/>
      <c r="F107" s="14"/>
    </row>
    <row r="108" ht="15.75" customHeight="1">
      <c r="C108" s="13"/>
      <c r="D108" s="13"/>
      <c r="E108" s="14"/>
      <c r="F108" s="14"/>
    </row>
    <row r="109" ht="15.75" customHeight="1">
      <c r="C109" s="13"/>
      <c r="D109" s="13"/>
      <c r="E109" s="14"/>
      <c r="F109" s="14"/>
    </row>
    <row r="110" ht="15.75" customHeight="1">
      <c r="C110" s="13"/>
      <c r="D110" s="13"/>
      <c r="E110" s="14"/>
      <c r="F110" s="14"/>
    </row>
    <row r="111" ht="15.75" customHeight="1">
      <c r="C111" s="13"/>
      <c r="D111" s="13"/>
      <c r="E111" s="14"/>
      <c r="F111" s="14"/>
    </row>
    <row r="112" ht="15.75" customHeight="1">
      <c r="C112" s="13"/>
      <c r="D112" s="13"/>
      <c r="E112" s="14"/>
      <c r="F112" s="14"/>
    </row>
    <row r="113" ht="15.75" customHeight="1">
      <c r="C113" s="13"/>
      <c r="D113" s="13"/>
      <c r="E113" s="14"/>
      <c r="F113" s="14"/>
    </row>
    <row r="114" ht="15.75" customHeight="1">
      <c r="C114" s="13"/>
      <c r="D114" s="13"/>
      <c r="E114" s="14"/>
      <c r="F114" s="14"/>
    </row>
    <row r="115" ht="15.75" customHeight="1">
      <c r="C115" s="13"/>
      <c r="D115" s="13"/>
      <c r="E115" s="14"/>
      <c r="F115" s="14"/>
    </row>
    <row r="116" ht="15.75" customHeight="1">
      <c r="C116" s="13"/>
      <c r="D116" s="13"/>
      <c r="E116" s="14"/>
      <c r="F116" s="14"/>
    </row>
    <row r="117" ht="15.75" customHeight="1">
      <c r="C117" s="13"/>
      <c r="D117" s="13"/>
      <c r="E117" s="14"/>
      <c r="F117" s="14"/>
    </row>
    <row r="118" ht="15.75" customHeight="1">
      <c r="C118" s="13"/>
      <c r="D118" s="13"/>
      <c r="E118" s="14"/>
      <c r="F118" s="14"/>
    </row>
    <row r="119" ht="15.75" customHeight="1">
      <c r="C119" s="13"/>
      <c r="D119" s="13"/>
      <c r="E119" s="14"/>
      <c r="F119" s="14"/>
    </row>
    <row r="120" ht="15.75" customHeight="1">
      <c r="C120" s="13"/>
      <c r="D120" s="13"/>
      <c r="E120" s="14"/>
      <c r="F120" s="14"/>
    </row>
    <row r="121" ht="15.75" customHeight="1">
      <c r="C121" s="13"/>
      <c r="D121" s="13"/>
      <c r="E121" s="14"/>
      <c r="F121" s="14"/>
    </row>
    <row r="122" ht="15.75" customHeight="1">
      <c r="C122" s="13"/>
      <c r="D122" s="13"/>
      <c r="E122" s="14"/>
      <c r="F122" s="14"/>
    </row>
    <row r="123" ht="15.75" customHeight="1">
      <c r="C123" s="13"/>
      <c r="D123" s="13"/>
      <c r="E123" s="14"/>
      <c r="F123" s="14"/>
    </row>
    <row r="124" ht="15.75" customHeight="1">
      <c r="C124" s="13"/>
      <c r="D124" s="13"/>
      <c r="E124" s="14"/>
      <c r="F124" s="14"/>
    </row>
    <row r="125" ht="15.75" customHeight="1">
      <c r="C125" s="13"/>
      <c r="D125" s="13"/>
      <c r="E125" s="14"/>
      <c r="F125" s="14"/>
    </row>
    <row r="126" ht="15.75" customHeight="1">
      <c r="C126" s="13"/>
      <c r="D126" s="13"/>
      <c r="E126" s="14"/>
      <c r="F126" s="14"/>
    </row>
    <row r="127" ht="15.75" customHeight="1">
      <c r="C127" s="13"/>
      <c r="D127" s="13"/>
      <c r="E127" s="14"/>
      <c r="F127" s="14"/>
    </row>
    <row r="128" ht="15.75" customHeight="1">
      <c r="C128" s="13"/>
      <c r="D128" s="13"/>
      <c r="E128" s="14"/>
      <c r="F128" s="14"/>
    </row>
    <row r="129" ht="15.75" customHeight="1">
      <c r="C129" s="13"/>
      <c r="D129" s="13"/>
      <c r="E129" s="14"/>
      <c r="F129" s="14"/>
    </row>
    <row r="130" ht="15.75" customHeight="1">
      <c r="C130" s="13"/>
      <c r="D130" s="13"/>
      <c r="E130" s="14"/>
      <c r="F130" s="14"/>
    </row>
    <row r="131" ht="15.75" customHeight="1">
      <c r="C131" s="13"/>
      <c r="D131" s="13"/>
      <c r="E131" s="14"/>
      <c r="F131" s="14"/>
    </row>
    <row r="132" ht="15.75" customHeight="1">
      <c r="C132" s="13"/>
      <c r="D132" s="13"/>
      <c r="E132" s="14"/>
      <c r="F132" s="14"/>
    </row>
    <row r="133" ht="15.75" customHeight="1">
      <c r="C133" s="13"/>
      <c r="D133" s="13"/>
      <c r="E133" s="14"/>
      <c r="F133" s="14"/>
    </row>
    <row r="134" ht="15.75" customHeight="1">
      <c r="C134" s="13"/>
      <c r="D134" s="13"/>
      <c r="E134" s="14"/>
      <c r="F134" s="14"/>
    </row>
    <row r="135" ht="15.75" customHeight="1">
      <c r="C135" s="13"/>
      <c r="D135" s="13"/>
      <c r="E135" s="14"/>
      <c r="F135" s="14"/>
    </row>
    <row r="136" ht="15.75" customHeight="1">
      <c r="C136" s="13"/>
      <c r="D136" s="13"/>
      <c r="E136" s="14"/>
      <c r="F136" s="14"/>
    </row>
    <row r="137" ht="15.75" customHeight="1">
      <c r="C137" s="13"/>
      <c r="D137" s="13"/>
      <c r="E137" s="14"/>
      <c r="F137" s="14"/>
    </row>
    <row r="138" ht="15.75" customHeight="1">
      <c r="C138" s="13"/>
      <c r="D138" s="13"/>
      <c r="E138" s="14"/>
      <c r="F138" s="14"/>
    </row>
    <row r="139" ht="15.75" customHeight="1">
      <c r="C139" s="13"/>
      <c r="D139" s="13"/>
      <c r="E139" s="14"/>
      <c r="F139" s="14"/>
    </row>
    <row r="140" ht="15.75" customHeight="1">
      <c r="C140" s="13"/>
      <c r="D140" s="13"/>
      <c r="E140" s="14"/>
      <c r="F140" s="14"/>
    </row>
    <row r="141" ht="15.75" customHeight="1">
      <c r="C141" s="13"/>
      <c r="D141" s="13"/>
      <c r="E141" s="14"/>
      <c r="F141" s="14"/>
    </row>
    <row r="142" ht="15.75" customHeight="1">
      <c r="C142" s="13"/>
      <c r="D142" s="13"/>
      <c r="E142" s="14"/>
      <c r="F142" s="14"/>
    </row>
    <row r="143" ht="15.75" customHeight="1">
      <c r="C143" s="13"/>
      <c r="D143" s="13"/>
      <c r="E143" s="14"/>
      <c r="F143" s="14"/>
    </row>
    <row r="144" ht="15.75" customHeight="1">
      <c r="C144" s="13"/>
      <c r="D144" s="13"/>
      <c r="E144" s="14"/>
      <c r="F144" s="14"/>
    </row>
    <row r="145" ht="15.75" customHeight="1">
      <c r="C145" s="13"/>
      <c r="D145" s="13"/>
      <c r="E145" s="14"/>
      <c r="F145" s="14"/>
    </row>
    <row r="146" ht="15.75" customHeight="1">
      <c r="C146" s="13"/>
      <c r="D146" s="13"/>
      <c r="E146" s="14"/>
      <c r="F146" s="14"/>
    </row>
    <row r="147" ht="15.75" customHeight="1">
      <c r="C147" s="13"/>
      <c r="D147" s="13"/>
      <c r="E147" s="14"/>
      <c r="F147" s="14"/>
    </row>
    <row r="148" ht="15.75" customHeight="1">
      <c r="C148" s="13"/>
      <c r="D148" s="13"/>
      <c r="E148" s="14"/>
      <c r="F148" s="14"/>
    </row>
    <row r="149" ht="15.75" customHeight="1">
      <c r="C149" s="13"/>
      <c r="D149" s="13"/>
      <c r="E149" s="14"/>
      <c r="F149" s="14"/>
    </row>
    <row r="150" ht="15.75" customHeight="1">
      <c r="C150" s="13"/>
      <c r="D150" s="13"/>
      <c r="E150" s="14"/>
      <c r="F150" s="14"/>
    </row>
    <row r="151" ht="15.75" customHeight="1">
      <c r="C151" s="13"/>
      <c r="D151" s="13"/>
      <c r="E151" s="14"/>
      <c r="F151" s="14"/>
    </row>
    <row r="152" ht="15.75" customHeight="1">
      <c r="C152" s="13"/>
      <c r="D152" s="13"/>
      <c r="E152" s="14"/>
      <c r="F152" s="14"/>
    </row>
    <row r="153" ht="15.75" customHeight="1">
      <c r="C153" s="13"/>
      <c r="D153" s="13"/>
      <c r="E153" s="14"/>
      <c r="F153" s="14"/>
    </row>
    <row r="154" ht="15.75" customHeight="1">
      <c r="C154" s="13"/>
      <c r="D154" s="13"/>
      <c r="E154" s="14"/>
      <c r="F154" s="14"/>
    </row>
    <row r="155" ht="15.75" customHeight="1">
      <c r="C155" s="13"/>
      <c r="D155" s="13"/>
      <c r="E155" s="14"/>
      <c r="F155" s="14"/>
    </row>
    <row r="156" ht="15.75" customHeight="1">
      <c r="C156" s="13"/>
      <c r="D156" s="13"/>
      <c r="E156" s="14"/>
      <c r="F156" s="14"/>
    </row>
    <row r="157" ht="15.75" customHeight="1">
      <c r="C157" s="13"/>
      <c r="D157" s="13"/>
      <c r="E157" s="14"/>
      <c r="F157" s="14"/>
    </row>
    <row r="158" ht="15.75" customHeight="1">
      <c r="C158" s="13"/>
      <c r="D158" s="13"/>
      <c r="E158" s="14"/>
      <c r="F158" s="14"/>
    </row>
    <row r="159" ht="15.75" customHeight="1">
      <c r="C159" s="13"/>
      <c r="D159" s="13"/>
      <c r="E159" s="14"/>
      <c r="F159" s="14"/>
    </row>
    <row r="160" ht="15.75" customHeight="1">
      <c r="C160" s="13"/>
      <c r="D160" s="13"/>
      <c r="E160" s="14"/>
      <c r="F160" s="14"/>
    </row>
    <row r="161" ht="15.75" customHeight="1">
      <c r="C161" s="13"/>
      <c r="D161" s="13"/>
      <c r="E161" s="14"/>
      <c r="F161" s="14"/>
    </row>
    <row r="162" ht="15.75" customHeight="1">
      <c r="C162" s="13"/>
      <c r="D162" s="13"/>
      <c r="E162" s="14"/>
      <c r="F162" s="14"/>
    </row>
    <row r="163" ht="15.75" customHeight="1">
      <c r="C163" s="13"/>
      <c r="D163" s="13"/>
      <c r="E163" s="14"/>
      <c r="F163" s="14"/>
    </row>
    <row r="164" ht="15.75" customHeight="1">
      <c r="C164" s="13"/>
      <c r="D164" s="13"/>
      <c r="E164" s="14"/>
      <c r="F164" s="14"/>
    </row>
    <row r="165" ht="15.75" customHeight="1">
      <c r="C165" s="13"/>
      <c r="D165" s="13"/>
      <c r="E165" s="14"/>
      <c r="F165" s="14"/>
    </row>
    <row r="166" ht="15.75" customHeight="1">
      <c r="C166" s="13"/>
      <c r="D166" s="13"/>
      <c r="E166" s="14"/>
      <c r="F166" s="14"/>
    </row>
    <row r="167" ht="15.75" customHeight="1">
      <c r="C167" s="13"/>
      <c r="D167" s="13"/>
      <c r="E167" s="14"/>
      <c r="F167" s="14"/>
    </row>
    <row r="168" ht="15.75" customHeight="1">
      <c r="C168" s="13"/>
      <c r="D168" s="13"/>
      <c r="E168" s="14"/>
      <c r="F168" s="14"/>
    </row>
    <row r="169" ht="15.75" customHeight="1">
      <c r="C169" s="13"/>
      <c r="D169" s="13"/>
      <c r="E169" s="14"/>
      <c r="F169" s="14"/>
    </row>
    <row r="170" ht="15.75" customHeight="1">
      <c r="C170" s="13"/>
      <c r="D170" s="13"/>
      <c r="E170" s="14"/>
      <c r="F170" s="14"/>
    </row>
    <row r="171" ht="15.75" customHeight="1">
      <c r="C171" s="13"/>
      <c r="D171" s="13"/>
      <c r="E171" s="14"/>
      <c r="F171" s="14"/>
    </row>
    <row r="172" ht="15.75" customHeight="1">
      <c r="C172" s="13"/>
      <c r="D172" s="13"/>
      <c r="E172" s="14"/>
      <c r="F172" s="14"/>
    </row>
    <row r="173" ht="15.75" customHeight="1">
      <c r="C173" s="13"/>
      <c r="D173" s="13"/>
      <c r="E173" s="14"/>
      <c r="F173" s="14"/>
    </row>
    <row r="174" ht="15.75" customHeight="1">
      <c r="C174" s="13"/>
      <c r="D174" s="13"/>
      <c r="E174" s="14"/>
      <c r="F174" s="14"/>
    </row>
    <row r="175" ht="15.75" customHeight="1">
      <c r="C175" s="13"/>
      <c r="D175" s="13"/>
      <c r="E175" s="14"/>
      <c r="F175" s="14"/>
    </row>
    <row r="176" ht="15.75" customHeight="1">
      <c r="C176" s="13"/>
      <c r="D176" s="13"/>
      <c r="E176" s="14"/>
      <c r="F176" s="14"/>
    </row>
    <row r="177" ht="15.75" customHeight="1">
      <c r="C177" s="13"/>
      <c r="D177" s="13"/>
      <c r="E177" s="14"/>
      <c r="F177" s="14"/>
    </row>
    <row r="178" ht="15.75" customHeight="1">
      <c r="C178" s="13"/>
      <c r="D178" s="13"/>
      <c r="E178" s="14"/>
      <c r="F178" s="14"/>
    </row>
    <row r="179" ht="15.75" customHeight="1">
      <c r="C179" s="13"/>
      <c r="D179" s="13"/>
      <c r="E179" s="14"/>
      <c r="F179" s="14"/>
    </row>
    <row r="180" ht="15.75" customHeight="1">
      <c r="C180" s="13"/>
      <c r="D180" s="13"/>
      <c r="E180" s="14"/>
      <c r="F180" s="14"/>
    </row>
    <row r="181" ht="15.75" customHeight="1">
      <c r="C181" s="13"/>
      <c r="D181" s="13"/>
      <c r="E181" s="14"/>
      <c r="F181" s="14"/>
    </row>
    <row r="182" ht="15.75" customHeight="1">
      <c r="C182" s="13"/>
      <c r="D182" s="13"/>
      <c r="E182" s="14"/>
      <c r="F182" s="14"/>
    </row>
    <row r="183" ht="15.75" customHeight="1">
      <c r="C183" s="13"/>
      <c r="D183" s="13"/>
      <c r="E183" s="14"/>
      <c r="F183" s="14"/>
    </row>
    <row r="184" ht="15.75" customHeight="1">
      <c r="C184" s="13"/>
      <c r="D184" s="13"/>
      <c r="E184" s="14"/>
      <c r="F184" s="14"/>
    </row>
    <row r="185" ht="15.75" customHeight="1">
      <c r="C185" s="13"/>
      <c r="D185" s="13"/>
      <c r="E185" s="14"/>
      <c r="F185" s="14"/>
    </row>
    <row r="186" ht="15.75" customHeight="1">
      <c r="C186" s="13"/>
      <c r="D186" s="13"/>
      <c r="E186" s="14"/>
      <c r="F186" s="14"/>
    </row>
    <row r="187" ht="15.75" customHeight="1">
      <c r="C187" s="13"/>
      <c r="D187" s="13"/>
      <c r="E187" s="14"/>
      <c r="F187" s="14"/>
    </row>
    <row r="188" ht="15.75" customHeight="1">
      <c r="C188" s="13"/>
      <c r="D188" s="13"/>
      <c r="E188" s="14"/>
      <c r="F188" s="14"/>
    </row>
    <row r="189" ht="15.75" customHeight="1">
      <c r="C189" s="13"/>
      <c r="D189" s="13"/>
      <c r="E189" s="14"/>
      <c r="F189" s="14"/>
    </row>
    <row r="190" ht="15.75" customHeight="1">
      <c r="C190" s="13"/>
      <c r="D190" s="13"/>
      <c r="E190" s="14"/>
      <c r="F190" s="14"/>
    </row>
    <row r="191" ht="15.75" customHeight="1">
      <c r="C191" s="13"/>
      <c r="D191" s="13"/>
      <c r="E191" s="14"/>
      <c r="F191" s="14"/>
    </row>
    <row r="192" ht="15.75" customHeight="1">
      <c r="C192" s="13"/>
      <c r="D192" s="13"/>
      <c r="E192" s="14"/>
      <c r="F192" s="14"/>
    </row>
    <row r="193" ht="15.75" customHeight="1">
      <c r="C193" s="13"/>
      <c r="D193" s="13"/>
      <c r="E193" s="14"/>
      <c r="F193" s="14"/>
    </row>
    <row r="194" ht="15.75" customHeight="1">
      <c r="C194" s="13"/>
      <c r="D194" s="13"/>
      <c r="E194" s="14"/>
      <c r="F194" s="14"/>
    </row>
    <row r="195" ht="15.75" customHeight="1">
      <c r="C195" s="13"/>
      <c r="D195" s="13"/>
      <c r="E195" s="14"/>
      <c r="F195" s="14"/>
    </row>
    <row r="196" ht="15.75" customHeight="1">
      <c r="C196" s="13"/>
      <c r="D196" s="13"/>
      <c r="E196" s="14"/>
      <c r="F196" s="14"/>
    </row>
    <row r="197" ht="15.75" customHeight="1">
      <c r="C197" s="13"/>
      <c r="D197" s="13"/>
      <c r="E197" s="14"/>
      <c r="F197" s="14"/>
    </row>
    <row r="198" ht="15.75" customHeight="1">
      <c r="C198" s="13"/>
      <c r="D198" s="13"/>
      <c r="E198" s="14"/>
      <c r="F198" s="14"/>
    </row>
    <row r="199" ht="15.75" customHeight="1">
      <c r="C199" s="13"/>
      <c r="D199" s="13"/>
      <c r="E199" s="14"/>
      <c r="F199" s="14"/>
    </row>
    <row r="200" ht="15.75" customHeight="1">
      <c r="C200" s="13"/>
      <c r="D200" s="13"/>
      <c r="E200" s="14"/>
      <c r="F200" s="14"/>
    </row>
    <row r="201" ht="15.75" customHeight="1">
      <c r="C201" s="13"/>
      <c r="D201" s="13"/>
      <c r="E201" s="14"/>
      <c r="F201" s="14"/>
    </row>
    <row r="202" ht="15.75" customHeight="1">
      <c r="C202" s="13"/>
      <c r="D202" s="13"/>
      <c r="E202" s="14"/>
      <c r="F202" s="14"/>
    </row>
    <row r="203" ht="15.75" customHeight="1">
      <c r="C203" s="13"/>
      <c r="D203" s="13"/>
      <c r="E203" s="14"/>
      <c r="F203" s="14"/>
    </row>
    <row r="204" ht="15.75" customHeight="1">
      <c r="C204" s="13"/>
      <c r="D204" s="13"/>
      <c r="E204" s="14"/>
      <c r="F204" s="14"/>
    </row>
    <row r="205" ht="15.75" customHeight="1">
      <c r="C205" s="13"/>
      <c r="D205" s="13"/>
      <c r="E205" s="14"/>
      <c r="F205" s="14"/>
    </row>
    <row r="206" ht="15.75" customHeight="1">
      <c r="C206" s="13"/>
      <c r="D206" s="13"/>
      <c r="E206" s="14"/>
      <c r="F206" s="14"/>
    </row>
    <row r="207" ht="15.75" customHeight="1">
      <c r="C207" s="13"/>
      <c r="D207" s="13"/>
      <c r="E207" s="14"/>
      <c r="F207" s="14"/>
    </row>
    <row r="208" ht="15.75" customHeight="1">
      <c r="C208" s="13"/>
      <c r="D208" s="13"/>
      <c r="E208" s="14"/>
      <c r="F208" s="14"/>
    </row>
    <row r="209" ht="15.75" customHeight="1">
      <c r="C209" s="13"/>
      <c r="D209" s="13"/>
      <c r="E209" s="14"/>
      <c r="F209" s="14"/>
    </row>
    <row r="210" ht="15.75" customHeight="1">
      <c r="C210" s="13"/>
      <c r="D210" s="13"/>
      <c r="E210" s="14"/>
      <c r="F210" s="14"/>
    </row>
    <row r="211" ht="15.75" customHeight="1">
      <c r="C211" s="13"/>
      <c r="D211" s="13"/>
      <c r="E211" s="14"/>
      <c r="F211" s="14"/>
    </row>
    <row r="212" ht="15.75" customHeight="1">
      <c r="C212" s="13"/>
      <c r="D212" s="13"/>
      <c r="E212" s="14"/>
      <c r="F212" s="14"/>
    </row>
    <row r="213" ht="15.75" customHeight="1">
      <c r="C213" s="13"/>
      <c r="D213" s="13"/>
      <c r="E213" s="14"/>
      <c r="F213" s="14"/>
    </row>
    <row r="214" ht="15.75" customHeight="1">
      <c r="C214" s="13"/>
      <c r="D214" s="13"/>
      <c r="E214" s="14"/>
      <c r="F214" s="14"/>
    </row>
    <row r="215" ht="15.75" customHeight="1">
      <c r="C215" s="13"/>
      <c r="D215" s="13"/>
      <c r="E215" s="14"/>
      <c r="F215" s="14"/>
    </row>
    <row r="216" ht="15.75" customHeight="1">
      <c r="C216" s="13"/>
      <c r="D216" s="13"/>
      <c r="E216" s="14"/>
      <c r="F216" s="14"/>
    </row>
    <row r="217" ht="15.75" customHeight="1">
      <c r="C217" s="13"/>
      <c r="D217" s="13"/>
      <c r="E217" s="14"/>
      <c r="F217" s="14"/>
    </row>
    <row r="218" ht="15.75" customHeight="1">
      <c r="C218" s="13"/>
      <c r="D218" s="13"/>
      <c r="E218" s="14"/>
      <c r="F218" s="14"/>
    </row>
    <row r="219" ht="15.75" customHeight="1">
      <c r="C219" s="13"/>
      <c r="D219" s="13"/>
      <c r="E219" s="14"/>
      <c r="F219" s="14"/>
    </row>
    <row r="220" ht="15.75" customHeight="1">
      <c r="C220" s="13"/>
      <c r="D220" s="13"/>
      <c r="E220" s="14"/>
      <c r="F220" s="14"/>
    </row>
    <row r="221" ht="15.75" customHeight="1">
      <c r="C221" s="13"/>
      <c r="D221" s="13"/>
      <c r="E221" s="14"/>
      <c r="F221" s="14"/>
    </row>
    <row r="222" ht="15.75" customHeight="1">
      <c r="C222" s="13"/>
      <c r="D222" s="13"/>
      <c r="E222" s="14"/>
      <c r="F222" s="14"/>
    </row>
    <row r="223" ht="15.75" customHeight="1">
      <c r="C223" s="13"/>
      <c r="D223" s="13"/>
      <c r="E223" s="14"/>
      <c r="F223" s="14"/>
    </row>
    <row r="224" ht="15.75" customHeight="1">
      <c r="C224" s="13"/>
      <c r="D224" s="13"/>
      <c r="E224" s="14"/>
      <c r="F224" s="14"/>
    </row>
    <row r="225" ht="15.75" customHeight="1">
      <c r="C225" s="13"/>
      <c r="D225" s="13"/>
      <c r="E225" s="14"/>
      <c r="F225" s="14"/>
    </row>
    <row r="226" ht="15.75" customHeight="1">
      <c r="C226" s="13"/>
      <c r="D226" s="13"/>
      <c r="E226" s="14"/>
      <c r="F226" s="14"/>
    </row>
    <row r="227" ht="15.75" customHeight="1">
      <c r="C227" s="13"/>
      <c r="D227" s="13"/>
      <c r="E227" s="14"/>
      <c r="F227" s="14"/>
    </row>
    <row r="228" ht="15.75" customHeight="1">
      <c r="C228" s="13"/>
      <c r="D228" s="13"/>
      <c r="E228" s="14"/>
      <c r="F228" s="14"/>
    </row>
    <row r="229" ht="15.75" customHeight="1">
      <c r="C229" s="13"/>
      <c r="D229" s="13"/>
      <c r="E229" s="14"/>
      <c r="F229" s="14"/>
    </row>
    <row r="230" ht="15.75" customHeight="1">
      <c r="C230" s="13"/>
      <c r="D230" s="13"/>
      <c r="E230" s="14"/>
      <c r="F230" s="14"/>
    </row>
    <row r="231" ht="15.75" customHeight="1">
      <c r="C231" s="13"/>
      <c r="D231" s="13"/>
      <c r="E231" s="14"/>
      <c r="F231" s="14"/>
    </row>
    <row r="232" ht="15.75" customHeight="1">
      <c r="C232" s="13"/>
      <c r="D232" s="13"/>
      <c r="E232" s="14"/>
      <c r="F232" s="14"/>
    </row>
    <row r="233" ht="15.75" customHeight="1">
      <c r="C233" s="13"/>
      <c r="D233" s="13"/>
      <c r="E233" s="14"/>
      <c r="F233" s="14"/>
    </row>
    <row r="234" ht="15.75" customHeight="1">
      <c r="C234" s="13"/>
      <c r="D234" s="13"/>
      <c r="E234" s="14"/>
      <c r="F234" s="14"/>
    </row>
    <row r="235" ht="15.75" customHeight="1">
      <c r="C235" s="13"/>
      <c r="D235" s="13"/>
      <c r="E235" s="14"/>
      <c r="F235" s="14"/>
    </row>
    <row r="236" ht="15.75" customHeight="1">
      <c r="C236" s="13"/>
      <c r="D236" s="13"/>
      <c r="E236" s="14"/>
      <c r="F236" s="14"/>
    </row>
    <row r="237" ht="15.75" customHeight="1">
      <c r="C237" s="13"/>
      <c r="D237" s="13"/>
      <c r="E237" s="14"/>
      <c r="F237" s="14"/>
    </row>
    <row r="238" ht="15.75" customHeight="1">
      <c r="C238" s="13"/>
      <c r="D238" s="13"/>
      <c r="E238" s="14"/>
      <c r="F238" s="14"/>
    </row>
    <row r="239" ht="15.75" customHeight="1">
      <c r="C239" s="13"/>
      <c r="D239" s="13"/>
      <c r="E239" s="14"/>
      <c r="F239" s="14"/>
    </row>
    <row r="240" ht="15.75" customHeight="1">
      <c r="C240" s="13"/>
      <c r="D240" s="13"/>
      <c r="E240" s="14"/>
      <c r="F240" s="14"/>
    </row>
    <row r="241" ht="15.75" customHeight="1">
      <c r="C241" s="13"/>
      <c r="D241" s="13"/>
      <c r="E241" s="14"/>
      <c r="F241" s="14"/>
    </row>
    <row r="242" ht="15.75" customHeight="1">
      <c r="C242" s="13"/>
      <c r="D242" s="13"/>
      <c r="E242" s="14"/>
      <c r="F242" s="14"/>
    </row>
    <row r="243" ht="15.75" customHeight="1">
      <c r="C243" s="13"/>
      <c r="D243" s="13"/>
      <c r="E243" s="14"/>
      <c r="F243" s="14"/>
    </row>
    <row r="244" ht="15.75" customHeight="1">
      <c r="C244" s="13"/>
      <c r="D244" s="13"/>
      <c r="E244" s="14"/>
      <c r="F244" s="14"/>
    </row>
    <row r="245" ht="15.75" customHeight="1">
      <c r="C245" s="13"/>
      <c r="D245" s="13"/>
      <c r="E245" s="14"/>
      <c r="F245" s="14"/>
    </row>
    <row r="246" ht="15.75" customHeight="1">
      <c r="C246" s="13"/>
      <c r="D246" s="13"/>
      <c r="E246" s="14"/>
      <c r="F246" s="14"/>
    </row>
    <row r="247" ht="15.75" customHeight="1">
      <c r="C247" s="13"/>
      <c r="D247" s="13"/>
      <c r="E247" s="14"/>
      <c r="F247" s="14"/>
    </row>
    <row r="248" ht="15.75" customHeight="1">
      <c r="C248" s="13"/>
      <c r="D248" s="13"/>
      <c r="E248" s="14"/>
      <c r="F248" s="14"/>
    </row>
    <row r="249" ht="15.75" customHeight="1">
      <c r="C249" s="13"/>
      <c r="D249" s="13"/>
      <c r="E249" s="14"/>
      <c r="F249" s="14"/>
    </row>
    <row r="250" ht="15.75" customHeight="1">
      <c r="C250" s="13"/>
      <c r="D250" s="13"/>
      <c r="E250" s="14"/>
      <c r="F250" s="14"/>
    </row>
    <row r="251" ht="15.75" customHeight="1">
      <c r="C251" s="13"/>
      <c r="D251" s="13"/>
      <c r="E251" s="14"/>
      <c r="F251" s="14"/>
    </row>
    <row r="252" ht="15.75" customHeight="1">
      <c r="C252" s="13"/>
      <c r="D252" s="13"/>
      <c r="E252" s="14"/>
      <c r="F252" s="14"/>
    </row>
    <row r="253" ht="15.75" customHeight="1">
      <c r="C253" s="13"/>
      <c r="D253" s="13"/>
      <c r="E253" s="14"/>
      <c r="F253" s="14"/>
    </row>
    <row r="254" ht="15.75" customHeight="1">
      <c r="C254" s="13"/>
      <c r="D254" s="13"/>
      <c r="E254" s="14"/>
      <c r="F254" s="14"/>
    </row>
    <row r="255" ht="15.75" customHeight="1">
      <c r="C255" s="13"/>
      <c r="D255" s="13"/>
      <c r="E255" s="14"/>
      <c r="F255" s="14"/>
    </row>
    <row r="256" ht="15.75" customHeight="1">
      <c r="C256" s="13"/>
      <c r="D256" s="13"/>
      <c r="E256" s="14"/>
      <c r="F256" s="14"/>
    </row>
    <row r="257" ht="15.75" customHeight="1">
      <c r="C257" s="13"/>
      <c r="D257" s="13"/>
      <c r="E257" s="14"/>
      <c r="F257" s="14"/>
    </row>
    <row r="258" ht="15.75" customHeight="1">
      <c r="C258" s="13"/>
      <c r="D258" s="13"/>
      <c r="E258" s="14"/>
      <c r="F258" s="14"/>
    </row>
    <row r="259" ht="15.75" customHeight="1">
      <c r="C259" s="13"/>
      <c r="D259" s="13"/>
      <c r="E259" s="14"/>
      <c r="F259" s="14"/>
    </row>
    <row r="260" ht="15.75" customHeight="1">
      <c r="C260" s="13"/>
      <c r="D260" s="13"/>
      <c r="E260" s="14"/>
      <c r="F260" s="14"/>
    </row>
    <row r="261" ht="15.75" customHeight="1">
      <c r="C261" s="13"/>
      <c r="D261" s="13"/>
      <c r="E261" s="14"/>
      <c r="F261" s="14"/>
    </row>
    <row r="262" ht="15.75" customHeight="1">
      <c r="C262" s="13"/>
      <c r="D262" s="13"/>
      <c r="E262" s="14"/>
      <c r="F262" s="14"/>
    </row>
    <row r="263" ht="15.75" customHeight="1">
      <c r="C263" s="13"/>
      <c r="D263" s="13"/>
      <c r="E263" s="14"/>
      <c r="F263" s="14"/>
    </row>
    <row r="264" ht="15.75" customHeight="1">
      <c r="C264" s="13"/>
      <c r="D264" s="13"/>
      <c r="E264" s="14"/>
      <c r="F264" s="14"/>
    </row>
    <row r="265" ht="15.75" customHeight="1">
      <c r="C265" s="13"/>
      <c r="D265" s="13"/>
      <c r="E265" s="14"/>
      <c r="F265" s="14"/>
    </row>
    <row r="266" ht="15.75" customHeight="1">
      <c r="C266" s="13"/>
      <c r="D266" s="13"/>
      <c r="E266" s="14"/>
      <c r="F266" s="14"/>
    </row>
    <row r="267" ht="15.75" customHeight="1">
      <c r="C267" s="13"/>
      <c r="D267" s="13"/>
      <c r="E267" s="14"/>
      <c r="F267" s="14"/>
    </row>
    <row r="268" ht="15.75" customHeight="1">
      <c r="C268" s="13"/>
      <c r="D268" s="13"/>
      <c r="E268" s="14"/>
      <c r="F268" s="14"/>
    </row>
    <row r="269" ht="15.75" customHeight="1">
      <c r="C269" s="13"/>
      <c r="D269" s="13"/>
      <c r="E269" s="14"/>
      <c r="F269" s="14"/>
    </row>
    <row r="270" ht="15.75" customHeight="1">
      <c r="C270" s="13"/>
      <c r="D270" s="13"/>
      <c r="E270" s="14"/>
      <c r="F270" s="14"/>
    </row>
    <row r="271" ht="15.75" customHeight="1">
      <c r="C271" s="13"/>
      <c r="D271" s="13"/>
      <c r="E271" s="14"/>
      <c r="F271" s="14"/>
    </row>
    <row r="272" ht="15.75" customHeight="1">
      <c r="C272" s="13"/>
      <c r="D272" s="13"/>
      <c r="E272" s="14"/>
      <c r="F272" s="14"/>
    </row>
    <row r="273" ht="15.75" customHeight="1">
      <c r="C273" s="13"/>
      <c r="D273" s="13"/>
      <c r="E273" s="14"/>
      <c r="F273" s="14"/>
    </row>
    <row r="274" ht="15.75" customHeight="1">
      <c r="C274" s="13"/>
      <c r="D274" s="13"/>
      <c r="E274" s="14"/>
      <c r="F274" s="14"/>
    </row>
    <row r="275" ht="15.75" customHeight="1">
      <c r="C275" s="13"/>
      <c r="D275" s="13"/>
      <c r="E275" s="14"/>
      <c r="F275" s="14"/>
    </row>
    <row r="276" ht="15.75" customHeight="1">
      <c r="C276" s="13"/>
      <c r="D276" s="13"/>
      <c r="E276" s="14"/>
      <c r="F276" s="14"/>
    </row>
    <row r="277" ht="15.75" customHeight="1">
      <c r="C277" s="13"/>
      <c r="D277" s="13"/>
      <c r="E277" s="14"/>
      <c r="F277" s="14"/>
    </row>
    <row r="278" ht="15.75" customHeight="1">
      <c r="C278" s="13"/>
      <c r="D278" s="13"/>
      <c r="E278" s="14"/>
      <c r="F278" s="14"/>
    </row>
    <row r="279" ht="15.75" customHeight="1">
      <c r="C279" s="13"/>
      <c r="D279" s="13"/>
      <c r="E279" s="14"/>
      <c r="F279" s="14"/>
    </row>
    <row r="280" ht="15.75" customHeight="1">
      <c r="C280" s="13"/>
      <c r="D280" s="13"/>
      <c r="E280" s="14"/>
      <c r="F280" s="14"/>
    </row>
    <row r="281" ht="15.75" customHeight="1">
      <c r="C281" s="13"/>
      <c r="D281" s="13"/>
      <c r="E281" s="14"/>
      <c r="F281" s="14"/>
    </row>
    <row r="282" ht="15.75" customHeight="1">
      <c r="C282" s="13"/>
      <c r="D282" s="13"/>
      <c r="E282" s="14"/>
      <c r="F282" s="14"/>
    </row>
    <row r="283" ht="15.75" customHeight="1">
      <c r="C283" s="13"/>
      <c r="D283" s="13"/>
      <c r="E283" s="14"/>
      <c r="F283" s="14"/>
    </row>
    <row r="284" ht="15.75" customHeight="1">
      <c r="C284" s="13"/>
      <c r="D284" s="13"/>
      <c r="E284" s="14"/>
      <c r="F284" s="14"/>
    </row>
    <row r="285" ht="15.75" customHeight="1">
      <c r="C285" s="13"/>
      <c r="D285" s="13"/>
      <c r="E285" s="14"/>
      <c r="F285" s="14"/>
    </row>
    <row r="286" ht="15.75" customHeight="1">
      <c r="C286" s="13"/>
      <c r="D286" s="13"/>
      <c r="E286" s="14"/>
      <c r="F286" s="14"/>
    </row>
    <row r="287" ht="15.75" customHeight="1">
      <c r="C287" s="13"/>
      <c r="D287" s="13"/>
      <c r="E287" s="14"/>
      <c r="F287" s="14"/>
    </row>
    <row r="288" ht="15.75" customHeight="1">
      <c r="C288" s="13"/>
      <c r="D288" s="13"/>
      <c r="E288" s="14"/>
      <c r="F288" s="14"/>
    </row>
    <row r="289" ht="15.75" customHeight="1">
      <c r="C289" s="13"/>
      <c r="D289" s="13"/>
      <c r="E289" s="14"/>
      <c r="F289" s="14"/>
    </row>
    <row r="290" ht="15.75" customHeight="1">
      <c r="C290" s="13"/>
      <c r="D290" s="13"/>
      <c r="E290" s="14"/>
      <c r="F290" s="14"/>
    </row>
    <row r="291" ht="15.75" customHeight="1">
      <c r="C291" s="13"/>
      <c r="D291" s="13"/>
      <c r="E291" s="14"/>
      <c r="F291" s="14"/>
    </row>
    <row r="292" ht="15.75" customHeight="1">
      <c r="C292" s="13"/>
      <c r="D292" s="13"/>
      <c r="E292" s="14"/>
      <c r="F292" s="14"/>
    </row>
    <row r="293" ht="15.75" customHeight="1">
      <c r="C293" s="13"/>
      <c r="D293" s="13"/>
      <c r="E293" s="14"/>
      <c r="F293" s="14"/>
    </row>
    <row r="294" ht="15.75" customHeight="1">
      <c r="C294" s="13"/>
      <c r="D294" s="13"/>
      <c r="E294" s="14"/>
      <c r="F294" s="14"/>
    </row>
    <row r="295" ht="15.75" customHeight="1">
      <c r="C295" s="13"/>
      <c r="D295" s="13"/>
      <c r="E295" s="14"/>
      <c r="F295" s="14"/>
    </row>
    <row r="296" ht="15.75" customHeight="1">
      <c r="C296" s="13"/>
      <c r="D296" s="13"/>
      <c r="E296" s="14"/>
      <c r="F296" s="14"/>
    </row>
    <row r="297" ht="15.75" customHeight="1">
      <c r="C297" s="13"/>
      <c r="D297" s="13"/>
      <c r="E297" s="14"/>
      <c r="F297" s="14"/>
    </row>
    <row r="298" ht="15.75" customHeight="1">
      <c r="C298" s="13"/>
      <c r="D298" s="13"/>
      <c r="E298" s="14"/>
      <c r="F298" s="14"/>
    </row>
    <row r="299" ht="15.75" customHeight="1">
      <c r="C299" s="13"/>
      <c r="D299" s="13"/>
      <c r="E299" s="14"/>
      <c r="F299" s="14"/>
    </row>
    <row r="300" ht="15.75" customHeight="1">
      <c r="C300" s="13"/>
      <c r="D300" s="13"/>
      <c r="E300" s="14"/>
      <c r="F300" s="14"/>
    </row>
    <row r="301" ht="15.75" customHeight="1">
      <c r="C301" s="13"/>
      <c r="D301" s="13"/>
      <c r="E301" s="14"/>
      <c r="F301" s="14"/>
    </row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